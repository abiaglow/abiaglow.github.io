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iag\OneDrive\Desktop\CH402\"/>
    </mc:Choice>
  </mc:AlternateContent>
  <xr:revisionPtr revIDLastSave="0" documentId="13_ncr:1_{3059063C-5803-48F3-A5D9-740041298B5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esign" sheetId="1" r:id="rId1"/>
    <sheet name="pipe cost" sheetId="2" r:id="rId2"/>
  </sheets>
  <definedNames>
    <definedName name="A">design!$E$9</definedName>
    <definedName name="alpha">design!$E$33</definedName>
    <definedName name="Aopt">design!$E$15</definedName>
    <definedName name="D">design!$E$8</definedName>
    <definedName name="Dopt">design!$E$14</definedName>
    <definedName name="eps">design!$E$39</definedName>
    <definedName name="eta">design!$E$50</definedName>
    <definedName name="f">design!$E$42</definedName>
    <definedName name="g">design!$E$22</definedName>
    <definedName name="hfinal">design!$E$21</definedName>
    <definedName name="hinit">design!$E$20</definedName>
    <definedName name="L">design!$E$38</definedName>
    <definedName name="Le">design!$E$73</definedName>
    <definedName name="length">'pipe cost'!$B$3</definedName>
    <definedName name="mu">design!$E$5</definedName>
    <definedName name="mv">design!$E$7</definedName>
    <definedName name="pfinal">design!$E$27</definedName>
    <definedName name="pinit">design!$E$26</definedName>
    <definedName name="Re">design!$E$11</definedName>
    <definedName name="Reopt">design!$E$17</definedName>
    <definedName name="rho">design!$E$6</definedName>
    <definedName name="solver_adj" localSheetId="0" hidden="1">design!$E$40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design!$E$40</definedName>
    <definedName name="solver_lhs2" localSheetId="0" hidden="1">design!$E$40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design!$E$37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0.001</definedName>
    <definedName name="solver_rhs2" localSheetId="0" hidden="1">0.001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v">design!$E$10</definedName>
    <definedName name="Vfinal">design!$E$32</definedName>
    <definedName name="Vinit">design!$E$31</definedName>
    <definedName name="vopt">design!$E$16</definedName>
    <definedName name="x">'pipe cost'!$B$2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1" i="1" l="1"/>
  <c r="K44" i="1"/>
  <c r="E93" i="1"/>
  <c r="E90" i="1"/>
  <c r="E73" i="1"/>
  <c r="F109" i="2"/>
  <c r="F112" i="2" s="1"/>
  <c r="F108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24" i="2"/>
  <c r="F110" i="2"/>
  <c r="F111" i="2" s="1"/>
  <c r="F102" i="2"/>
  <c r="K102" i="2"/>
  <c r="P102" i="2"/>
  <c r="P94" i="2"/>
  <c r="K94" i="2"/>
  <c r="F94" i="2"/>
  <c r="P68" i="2"/>
  <c r="K68" i="2"/>
  <c r="F68" i="2"/>
  <c r="K51" i="2"/>
  <c r="F51" i="2"/>
  <c r="K34" i="2"/>
  <c r="F34" i="2"/>
  <c r="K4" i="2"/>
  <c r="F4" i="2"/>
  <c r="P66" i="2"/>
  <c r="P100" i="2" s="1"/>
  <c r="K66" i="2"/>
  <c r="K67" i="2" s="1"/>
  <c r="F66" i="2"/>
  <c r="F100" i="2" s="1"/>
  <c r="K49" i="2"/>
  <c r="K50" i="2" s="1"/>
  <c r="F49" i="2"/>
  <c r="F50" i="2" s="1"/>
  <c r="K32" i="2"/>
  <c r="K33" i="2" s="1"/>
  <c r="F32" i="2"/>
  <c r="F33" i="2" s="1"/>
  <c r="K2" i="2"/>
  <c r="K3" i="2" s="1"/>
  <c r="F2" i="2"/>
  <c r="F3" i="2" s="1"/>
  <c r="I45" i="2"/>
  <c r="D45" i="2"/>
  <c r="E28" i="1"/>
  <c r="E23" i="1"/>
  <c r="E9" i="1"/>
  <c r="E10" i="1" s="1"/>
  <c r="E76" i="1" l="1"/>
  <c r="K35" i="2"/>
  <c r="F5" i="2"/>
  <c r="F6" i="2" s="1"/>
  <c r="F114" i="2"/>
  <c r="K5" i="2"/>
  <c r="K6" i="2" s="1"/>
  <c r="K100" i="2"/>
  <c r="P67" i="2"/>
  <c r="P101" i="2" s="1"/>
  <c r="P103" i="2" s="1"/>
  <c r="K52" i="2"/>
  <c r="F35" i="2"/>
  <c r="K92" i="2"/>
  <c r="K93" i="2"/>
  <c r="K95" i="2" s="1"/>
  <c r="K69" i="2"/>
  <c r="K101" i="2"/>
  <c r="K103" i="2" s="1"/>
  <c r="F113" i="2"/>
  <c r="F52" i="2"/>
  <c r="E11" i="1"/>
  <c r="E14" i="1" s="1"/>
  <c r="E31" i="1"/>
  <c r="E32" i="1"/>
  <c r="F92" i="2"/>
  <c r="P92" i="2"/>
  <c r="F67" i="2"/>
  <c r="F69" i="2" s="1"/>
  <c r="E77" i="1" l="1"/>
  <c r="E78" i="1" s="1"/>
  <c r="F118" i="2"/>
  <c r="F119" i="2" s="1"/>
  <c r="P93" i="2"/>
  <c r="P95" i="2" s="1"/>
  <c r="P69" i="2"/>
  <c r="E34" i="1"/>
  <c r="E79" i="1"/>
  <c r="F101" i="2"/>
  <c r="F103" i="2" s="1"/>
  <c r="F93" i="2"/>
  <c r="F95" i="2" s="1"/>
  <c r="E41" i="1"/>
  <c r="E42" i="1" s="1"/>
  <c r="E44" i="1" s="1"/>
  <c r="E37" i="1"/>
  <c r="E80" i="1" l="1"/>
  <c r="E81" i="1" s="1"/>
  <c r="E82" i="1"/>
  <c r="E15" i="1"/>
  <c r="E16" i="1" s="1"/>
  <c r="E17" i="1" s="1"/>
  <c r="E43" i="1"/>
  <c r="E85" i="1" l="1"/>
  <c r="E45" i="1" s="1"/>
  <c r="E48" i="1" s="1"/>
  <c r="E51" i="1" l="1"/>
  <c r="E89" i="1" l="1"/>
  <c r="E91" i="1" s="1"/>
  <c r="E49" i="1"/>
  <c r="E52" i="1" s="1"/>
</calcChain>
</file>

<file path=xl/sharedStrings.xml><?xml version="1.0" encoding="utf-8"?>
<sst xmlns="http://schemas.openxmlformats.org/spreadsheetml/2006/main" count="501" uniqueCount="252">
  <si>
    <t>viscosity</t>
  </si>
  <si>
    <t>density</t>
  </si>
  <si>
    <t>m</t>
  </si>
  <si>
    <t>Re</t>
  </si>
  <si>
    <t>dimensionless</t>
  </si>
  <si>
    <t>velocity</t>
  </si>
  <si>
    <t>m/s</t>
  </si>
  <si>
    <t>elevation 1</t>
  </si>
  <si>
    <t>elevation 2</t>
  </si>
  <si>
    <t>g</t>
  </si>
  <si>
    <t>pressure 1</t>
  </si>
  <si>
    <t>pressure 2</t>
  </si>
  <si>
    <t>Pa</t>
  </si>
  <si>
    <t>kg/m∙s</t>
  </si>
  <si>
    <r>
      <t>kg/m</t>
    </r>
    <r>
      <rPr>
        <vertAlign val="superscript"/>
        <sz val="10"/>
        <rFont val="Arial"/>
        <family val="2"/>
      </rPr>
      <t>3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</si>
  <si>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>/s</t>
    </r>
  </si>
  <si>
    <r>
      <t>m</t>
    </r>
    <r>
      <rPr>
        <vertAlign val="superscript"/>
        <sz val="10"/>
        <rFont val="Arial"/>
        <family val="2"/>
      </rPr>
      <t>2</t>
    </r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</si>
  <si>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/s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or N∙m/kg</t>
    </r>
  </si>
  <si>
    <t>initial fluid velocity</t>
  </si>
  <si>
    <t>final fluid velocity</t>
  </si>
  <si>
    <t>velocity correction</t>
  </si>
  <si>
    <r>
      <t>D</t>
    </r>
    <r>
      <rPr>
        <sz val="10"/>
        <rFont val="Arial"/>
      </rPr>
      <t>(p</t>
    </r>
    <r>
      <rPr>
        <sz val="10"/>
        <rFont val="Symbol"/>
        <family val="1"/>
        <charset val="2"/>
      </rPr>
      <t>n</t>
    </r>
    <r>
      <rPr>
        <sz val="10"/>
        <rFont val="Arial"/>
      </rPr>
      <t>)</t>
    </r>
  </si>
  <si>
    <r>
      <t>g∙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h</t>
    </r>
  </si>
  <si>
    <r>
      <t>45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elbows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</si>
  <si>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elbows, medium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</si>
  <si>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elbows, standard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</si>
  <si>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elbows, long sweep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</si>
  <si>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elbows, square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</si>
  <si>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bends, close return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</si>
  <si>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</rPr>
      <t xml:space="preserve"> bends, medium radius</t>
    </r>
  </si>
  <si>
    <t>Tee (used as elbow, entering branch)</t>
  </si>
  <si>
    <t>Tee (used as elbow, entering run)</t>
  </si>
  <si>
    <t>Couplings</t>
  </si>
  <si>
    <t>Unions</t>
  </si>
  <si>
    <t>Gate valves, open</t>
  </si>
  <si>
    <t>Globe valves, open</t>
  </si>
  <si>
    <t>Angle valves, open</t>
  </si>
  <si>
    <t>Water meters, disk</t>
  </si>
  <si>
    <t>Water meters, piston</t>
  </si>
  <si>
    <t>Water meters, impulse-wheel</t>
  </si>
  <si>
    <t>Le/D</t>
  </si>
  <si>
    <t>pipe length</t>
  </si>
  <si>
    <t>frictional loss due to straight pipe</t>
  </si>
  <si>
    <r>
      <t>m/s</t>
    </r>
    <r>
      <rPr>
        <vertAlign val="superscript"/>
        <sz val="10"/>
        <rFont val="Arial"/>
        <family val="2"/>
      </rPr>
      <t>2</t>
    </r>
  </si>
  <si>
    <t>fanning friction factor</t>
  </si>
  <si>
    <t>h</t>
  </si>
  <si>
    <t>flow rate, specified</t>
  </si>
  <si>
    <t>pipe roughness</t>
  </si>
  <si>
    <t>fanning friction factor, turbulent</t>
  </si>
  <si>
    <t>fanning friction factor, laminar</t>
  </si>
  <si>
    <t>pipe cross-sectional area</t>
  </si>
  <si>
    <t>W</t>
  </si>
  <si>
    <t>pump work at specified efficiency</t>
  </si>
  <si>
    <t>r</t>
  </si>
  <si>
    <r>
      <t>m</t>
    </r>
    <r>
      <rPr>
        <vertAlign val="subscript"/>
        <sz val="10"/>
        <rFont val="Arial"/>
        <family val="2"/>
      </rPr>
      <t>v</t>
    </r>
  </si>
  <si>
    <t>D</t>
  </si>
  <si>
    <t>A</t>
  </si>
  <si>
    <t>diameter, specified</t>
  </si>
  <si>
    <t>v</t>
  </si>
  <si>
    <t>Reynolds number</t>
  </si>
  <si>
    <r>
      <t>D</t>
    </r>
    <r>
      <rPr>
        <vertAlign val="subscript"/>
        <sz val="10"/>
        <rFont val="Arial"/>
        <family val="2"/>
      </rPr>
      <t>opt</t>
    </r>
  </si>
  <si>
    <r>
      <t>A</t>
    </r>
    <r>
      <rPr>
        <vertAlign val="subscript"/>
        <sz val="10"/>
        <rFont val="Arial"/>
        <family val="2"/>
      </rPr>
      <t>opt</t>
    </r>
  </si>
  <si>
    <r>
      <t>Re</t>
    </r>
    <r>
      <rPr>
        <vertAlign val="subscript"/>
        <sz val="10"/>
        <rFont val="Arial"/>
        <family val="2"/>
      </rPr>
      <t>opt</t>
    </r>
  </si>
  <si>
    <r>
      <t>v</t>
    </r>
    <r>
      <rPr>
        <vertAlign val="subscript"/>
        <sz val="10"/>
        <rFont val="Arial"/>
        <family val="2"/>
      </rPr>
      <t>opt</t>
    </r>
  </si>
  <si>
    <r>
      <t>h</t>
    </r>
    <r>
      <rPr>
        <vertAlign val="subscript"/>
        <sz val="10"/>
        <rFont val="Arial"/>
        <family val="2"/>
      </rPr>
      <t>1</t>
    </r>
  </si>
  <si>
    <r>
      <t>h</t>
    </r>
    <r>
      <rPr>
        <vertAlign val="subscript"/>
        <sz val="10"/>
        <rFont val="Arial"/>
        <family val="2"/>
      </rPr>
      <t>2</t>
    </r>
  </si>
  <si>
    <t>gravitational acceleration constant</t>
  </si>
  <si>
    <r>
      <t>p</t>
    </r>
    <r>
      <rPr>
        <vertAlign val="subscript"/>
        <sz val="10"/>
        <rFont val="Arial"/>
        <family val="2"/>
      </rPr>
      <t>1</t>
    </r>
  </si>
  <si>
    <r>
      <t>p</t>
    </r>
    <r>
      <rPr>
        <vertAlign val="subscript"/>
        <sz val="10"/>
        <rFont val="Arial"/>
        <family val="2"/>
      </rPr>
      <t>2</t>
    </r>
  </si>
  <si>
    <t>area, optimal</t>
  </si>
  <si>
    <t>velocity, optimal</t>
  </si>
  <si>
    <t>Reynolds number, optimal</t>
  </si>
  <si>
    <t>L</t>
  </si>
  <si>
    <t>e</t>
  </si>
  <si>
    <t>f</t>
  </si>
  <si>
    <t>a</t>
  </si>
  <si>
    <t>P</t>
  </si>
  <si>
    <t>efficiency</t>
  </si>
  <si>
    <r>
      <t>P</t>
    </r>
    <r>
      <rPr>
        <vertAlign val="subscript"/>
        <sz val="10"/>
        <rFont val="Arial"/>
        <family val="2"/>
      </rPr>
      <t>o</t>
    </r>
  </si>
  <si>
    <r>
      <t>F</t>
    </r>
    <r>
      <rPr>
        <vertAlign val="subscript"/>
        <sz val="10"/>
        <rFont val="Arial"/>
        <family val="2"/>
      </rPr>
      <t>pipe</t>
    </r>
  </si>
  <si>
    <r>
      <t>F</t>
    </r>
    <r>
      <rPr>
        <vertAlign val="subscript"/>
        <sz val="10"/>
        <rFont val="Arial"/>
        <family val="2"/>
      </rPr>
      <t>pipe+fittings</t>
    </r>
  </si>
  <si>
    <t>Design tool for incompressible flow in pipes</t>
  </si>
  <si>
    <t>diameter</t>
  </si>
  <si>
    <t>price</t>
  </si>
  <si>
    <t>$/m</t>
  </si>
  <si>
    <r>
      <t>F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</si>
  <si>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e</t>
    </r>
  </si>
  <si>
    <r>
      <t>A</t>
    </r>
    <r>
      <rPr>
        <vertAlign val="subscript"/>
        <sz val="10"/>
        <rFont val="Arial"/>
        <family val="2"/>
      </rPr>
      <t>narrow</t>
    </r>
    <r>
      <rPr>
        <sz val="10"/>
        <rFont val="Arial"/>
      </rPr>
      <t>/A</t>
    </r>
    <r>
      <rPr>
        <vertAlign val="subscript"/>
        <sz val="10"/>
        <rFont val="Arial"/>
        <family val="2"/>
      </rPr>
      <t>wide</t>
    </r>
  </si>
  <si>
    <t>Number of enlargements</t>
  </si>
  <si>
    <t>Losses due to enlargements</t>
  </si>
  <si>
    <t>losses due to straight pipe + fittings</t>
  </si>
  <si>
    <r>
      <t>F</t>
    </r>
    <r>
      <rPr>
        <vertAlign val="subscript"/>
        <sz val="10"/>
        <rFont val="Arial"/>
        <family val="2"/>
      </rPr>
      <t>pipe+fittings+ec</t>
    </r>
  </si>
  <si>
    <r>
      <t>A</t>
    </r>
    <r>
      <rPr>
        <vertAlign val="subscript"/>
        <sz val="10"/>
        <rFont val="Arial"/>
        <family val="2"/>
      </rPr>
      <t>narrow</t>
    </r>
  </si>
  <si>
    <r>
      <t>A</t>
    </r>
    <r>
      <rPr>
        <vertAlign val="subscript"/>
        <sz val="10"/>
        <rFont val="Arial"/>
        <family val="2"/>
      </rPr>
      <t>wide</t>
    </r>
  </si>
  <si>
    <r>
      <t>F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+F</t>
    </r>
    <r>
      <rPr>
        <vertAlign val="subscript"/>
        <sz val="10"/>
        <rFont val="Arial"/>
        <family val="2"/>
      </rPr>
      <t>c</t>
    </r>
  </si>
  <si>
    <t>kPa</t>
  </si>
  <si>
    <t>Losses due to constrictions</t>
  </si>
  <si>
    <t>Losses due to enlargements and constrictions</t>
  </si>
  <si>
    <t>Safe working pressure</t>
  </si>
  <si>
    <t>Safe working stress</t>
  </si>
  <si>
    <r>
      <t>p</t>
    </r>
    <r>
      <rPr>
        <vertAlign val="subscript"/>
        <sz val="10"/>
        <rFont val="Arial"/>
        <family val="2"/>
      </rPr>
      <t>s</t>
    </r>
  </si>
  <si>
    <r>
      <t>S</t>
    </r>
    <r>
      <rPr>
        <vertAlign val="subscript"/>
        <sz val="10"/>
        <rFont val="Arial"/>
        <family val="2"/>
      </rPr>
      <t>s</t>
    </r>
  </si>
  <si>
    <r>
      <t>D</t>
    </r>
    <r>
      <rPr>
        <vertAlign val="subscript"/>
        <sz val="10"/>
        <rFont val="Arial"/>
        <family val="2"/>
      </rPr>
      <t>m</t>
    </r>
  </si>
  <si>
    <t>Schedule number</t>
  </si>
  <si>
    <t>Sch</t>
  </si>
  <si>
    <t>Pipe Thickness Evaluation</t>
  </si>
  <si>
    <t>Safe working pressure from Schedule Number</t>
  </si>
  <si>
    <t>=E42*mv*rho</t>
  </si>
  <si>
    <t>=E42/eta</t>
  </si>
  <si>
    <t>=E43/eta</t>
  </si>
  <si>
    <t>Mean diameter</t>
  </si>
  <si>
    <t>Sch. 40, welded carbon steel</t>
  </si>
  <si>
    <t>Sch. 80, welded carbon steel</t>
  </si>
  <si>
    <t>Sch. 40 Carbon-steel screwed, welded seam</t>
  </si>
  <si>
    <t>Sch. 80 Carbon-steel screwed, welded seam</t>
  </si>
  <si>
    <t>Sch. 40 Carbon-steel screwed, seamless</t>
  </si>
  <si>
    <t>Sch. 80 Carbon-steel screwed, seamless</t>
  </si>
  <si>
    <t>Sch. 10, welded stainless 304, 304L</t>
  </si>
  <si>
    <t>Sch. 40, welded stainless 304, 304L</t>
  </si>
  <si>
    <t>Sch. 80, welded stainless 304, 304L</t>
  </si>
  <si>
    <t>Interpolated cost, $/m:</t>
  </si>
  <si>
    <t>Specified diameter, m:</t>
  </si>
  <si>
    <t>Sch. 10, welded stainless 316, 347</t>
  </si>
  <si>
    <t>Sch. 10, welded stainless 316L</t>
  </si>
  <si>
    <t>Sch. 40, welded stainless 316, 347</t>
  </si>
  <si>
    <t>Sch. 40, welded stainless 316L</t>
  </si>
  <si>
    <t>Sch. 80, welded stainless 316, 347</t>
  </si>
  <si>
    <t>Sch. 80, welded stainless 316L</t>
  </si>
  <si>
    <t>Data:</t>
  </si>
  <si>
    <t>Specified length, m:</t>
  </si>
  <si>
    <t>Cost, $:</t>
  </si>
  <si>
    <r>
      <t xml:space="preserve">Data: </t>
    </r>
    <r>
      <rPr>
        <sz val="10"/>
        <color indexed="12"/>
        <rFont val="Arial"/>
        <family val="2"/>
      </rPr>
      <t>use cost factor of 1.25 x 304/304L</t>
    </r>
  </si>
  <si>
    <r>
      <t xml:space="preserve">Data: </t>
    </r>
    <r>
      <rPr>
        <sz val="10"/>
        <color indexed="12"/>
        <rFont val="Arial"/>
        <family val="2"/>
      </rPr>
      <t>use cost factor of 1.45 x 304/304L</t>
    </r>
  </si>
  <si>
    <r>
      <t>t</t>
    </r>
    <r>
      <rPr>
        <vertAlign val="subscript"/>
        <sz val="10"/>
        <rFont val="Arial"/>
        <family val="2"/>
      </rPr>
      <t>m</t>
    </r>
  </si>
  <si>
    <t>Minimum wall thickness, m</t>
  </si>
  <si>
    <t>Figure 12-4 Purchased cost of welded and screwed pipe per unit length.  PTW, 5th edition, page 503</t>
  </si>
  <si>
    <t>in</t>
  </si>
  <si>
    <t>spacing</t>
  </si>
  <si>
    <t>ft</t>
  </si>
  <si>
    <t>CEPCI, 1979:</t>
  </si>
  <si>
    <t>CEPCI, 2002:</t>
  </si>
  <si>
    <t>Cost, $, 2002:</t>
  </si>
  <si>
    <t>$, 1979</t>
  </si>
  <si>
    <t>$, 2002</t>
  </si>
  <si>
    <t>Specified length, ft:</t>
  </si>
  <si>
    <t>Specified diameter, in:</t>
  </si>
  <si>
    <t>Number of hangers required:</t>
  </si>
  <si>
    <t>Hanger spacing, ft:</t>
  </si>
  <si>
    <t>Pipe Hanger Spacing and Cost</t>
  </si>
  <si>
    <t>Specs in this example are from PTW, Example 12-1.  Must be changed for your problems!!</t>
  </si>
  <si>
    <t>Specs</t>
  </si>
  <si>
    <t>Cost, 2002, $:</t>
  </si>
  <si>
    <t>CEPCI, 2022:</t>
  </si>
  <si>
    <t>Cost, $, 2022:</t>
  </si>
  <si>
    <t>Cost, 2022, $:</t>
  </si>
  <si>
    <t>Symbol</t>
  </si>
  <si>
    <t>Units</t>
  </si>
  <si>
    <t>Cell Name</t>
  </si>
  <si>
    <t>---</t>
  </si>
  <si>
    <t xml:space="preserve">  n/a</t>
  </si>
  <si>
    <t>diameter, optimal, SI</t>
  </si>
  <si>
    <t>mu</t>
  </si>
  <si>
    <t>rho</t>
  </si>
  <si>
    <t>mv</t>
  </si>
  <si>
    <t>Dopt</t>
  </si>
  <si>
    <t>Aopt</t>
  </si>
  <si>
    <t>vopt</t>
  </si>
  <si>
    <t>Reopt</t>
  </si>
  <si>
    <t>hinit</t>
  </si>
  <si>
    <t>hfinal</t>
  </si>
  <si>
    <t>pinit</t>
  </si>
  <si>
    <t>pfinal</t>
  </si>
  <si>
    <t>Vinit</t>
  </si>
  <si>
    <t>Vfinal</t>
  </si>
  <si>
    <t>alpha</t>
  </si>
  <si>
    <t>eps</t>
  </si>
  <si>
    <t>eta</t>
  </si>
  <si>
    <t>Le</t>
  </si>
  <si>
    <r>
      <t xml:space="preserve">Yellow highlighting designates required </t>
    </r>
    <r>
      <rPr>
        <b/>
        <sz val="10"/>
        <rFont val="Arial"/>
        <family val="2"/>
      </rPr>
      <t>user</t>
    </r>
    <r>
      <rPr>
        <sz val="10"/>
        <rFont val="Arial"/>
        <family val="2"/>
      </rPr>
      <t xml:space="preserve"> input.</t>
    </r>
  </si>
  <si>
    <t xml:space="preserve">  u/s (user specified)</t>
  </si>
  <si>
    <t xml:space="preserve">  u/s</t>
  </si>
  <si>
    <t>Potential Energy Section</t>
  </si>
  <si>
    <t xml:space="preserve">  s/c</t>
  </si>
  <si>
    <t xml:space="preserve">  s/c, nested IF statements using eqns 9-76 to 9-79, PTW, 5th ed, p. 404</t>
  </si>
  <si>
    <t xml:space="preserve">  u/s, fig. 12-1, p. 487</t>
  </si>
  <si>
    <t>not named</t>
  </si>
  <si>
    <t xml:space="preserve">  s/c, eq. 12-6, p. 487</t>
  </si>
  <si>
    <t xml:space="preserve">  s/c, eq. 12-4, p. 487</t>
  </si>
  <si>
    <t xml:space="preserve">  s/c, eq. 12-7, p. 488</t>
  </si>
  <si>
    <t xml:space="preserve">  s/c, IF statement to choose laminar or turbulent</t>
  </si>
  <si>
    <t xml:space="preserve">  s/c, eq. 12-7, p. 488, with equivalent length L+Le</t>
  </si>
  <si>
    <t>Equivalent length of fittings</t>
  </si>
  <si>
    <t>Number of constrictions</t>
  </si>
  <si>
    <t xml:space="preserve">  s/c, Table 12-1, p. 490, sudden constriction</t>
  </si>
  <si>
    <t xml:space="preserve">  s/c, Table 12-1, p. 490, sudden enlargement</t>
  </si>
  <si>
    <t xml:space="preserve">  u/s, typical value is 1 for pipe removing liquid from a vessel</t>
  </si>
  <si>
    <t xml:space="preserve">  u/s, typical value is 1 for pipe emptying into a vessel</t>
  </si>
  <si>
    <r>
      <t>v</t>
    </r>
    <r>
      <rPr>
        <vertAlign val="subscript"/>
        <sz val="10"/>
        <rFont val="Arial"/>
        <family val="2"/>
      </rPr>
      <t>narrow</t>
    </r>
  </si>
  <si>
    <r>
      <t>v</t>
    </r>
    <r>
      <rPr>
        <vertAlign val="subscript"/>
        <sz val="10"/>
        <rFont val="Arial"/>
        <family val="2"/>
      </rPr>
      <t>1</t>
    </r>
  </si>
  <si>
    <r>
      <t>v</t>
    </r>
    <r>
      <rPr>
        <vertAlign val="subscript"/>
        <sz val="10"/>
        <rFont val="Arial"/>
        <family val="2"/>
      </rPr>
      <t>2</t>
    </r>
  </si>
  <si>
    <r>
      <t>D</t>
    </r>
    <r>
      <rPr>
        <sz val="10"/>
        <rFont val="Arial"/>
      </rPr>
      <t>(v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/2</t>
    </r>
    <r>
      <rPr>
        <sz val="10"/>
        <rFont val="Symbol"/>
        <family val="1"/>
        <charset val="2"/>
      </rPr>
      <t>a</t>
    </r>
    <r>
      <rPr>
        <sz val="10"/>
        <rFont val="Arial"/>
      </rPr>
      <t>)</t>
    </r>
  </si>
  <si>
    <r>
      <t>v</t>
    </r>
    <r>
      <rPr>
        <vertAlign val="subscript"/>
        <sz val="10"/>
        <rFont val="Arial"/>
        <family val="2"/>
      </rPr>
      <t>wide</t>
    </r>
  </si>
  <si>
    <r>
      <t xml:space="preserve">  s/c, A</t>
    </r>
    <r>
      <rPr>
        <vertAlign val="subscript"/>
        <sz val="10"/>
        <rFont val="Arial"/>
        <family val="2"/>
      </rPr>
      <t>wide</t>
    </r>
    <r>
      <rPr>
        <sz val="10"/>
        <rFont val="Arial"/>
        <family val="2"/>
      </rPr>
      <t xml:space="preserve"> is not known in this case, so the ratio is made small</t>
    </r>
  </si>
  <si>
    <t>Velocity on narrow side of constriction/expansion</t>
  </si>
  <si>
    <t>Velocity on wide side of constriction/expansion</t>
  </si>
  <si>
    <t>Area on narrow side of constriction/expansion</t>
  </si>
  <si>
    <t>Area on wide side of constriction/expansion</t>
  </si>
  <si>
    <t>Ratio of narrow area to wide area</t>
  </si>
  <si>
    <t xml:space="preserve">  s/c, volumetric flow divided by area of narrow side</t>
  </si>
  <si>
    <t xml:space="preserve">  s/c, volumetric flow divided by area of wide side</t>
  </si>
  <si>
    <t xml:space="preserve">  u/s, used a ratio of 1000 in this case</t>
  </si>
  <si>
    <t xml:space="preserve">  s/c, summation of all losses due to fittings</t>
  </si>
  <si>
    <t>Frictional Losses Due to Enlargements and Constrictions</t>
  </si>
  <si>
    <t>Frictional Losses Due to Fittings and Valves</t>
  </si>
  <si>
    <t xml:space="preserve">  s/c, eq. 12-7, p. 488, with expansions and constrictions</t>
  </si>
  <si>
    <r>
      <t xml:space="preserve">  s/c,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opt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/4</t>
    </r>
  </si>
  <si>
    <r>
      <t xml:space="preserve">  s/c (spreadsheet calculation),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</t>
    </r>
  </si>
  <si>
    <t xml:space="preserve">  s/c, volumetric flow rate divided by cross-sectional area</t>
  </si>
  <si>
    <r>
      <t xml:space="preserve">  s/c, Dv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</si>
  <si>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r>
      <t xml:space="preserve">  s/c, volumetric flow divided by A</t>
    </r>
    <r>
      <rPr>
        <vertAlign val="subscript"/>
        <sz val="10"/>
        <rFont val="Arial"/>
        <family val="2"/>
      </rPr>
      <t>opt</t>
    </r>
  </si>
  <si>
    <r>
      <t xml:space="preserve">  s/c, D</t>
    </r>
    <r>
      <rPr>
        <vertAlign val="subscript"/>
        <sz val="10"/>
        <rFont val="Arial"/>
        <family val="2"/>
      </rPr>
      <t>opt</t>
    </r>
    <r>
      <rPr>
        <sz val="10"/>
        <rFont val="Arial"/>
        <family val="2"/>
      </rPr>
      <t>v</t>
    </r>
    <r>
      <rPr>
        <vertAlign val="subscript"/>
        <sz val="10"/>
        <rFont val="Arial"/>
        <family val="2"/>
      </rPr>
      <t>opt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</si>
  <si>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t xml:space="preserve">  s/c, from cell E10</t>
  </si>
  <si>
    <t>Optimal Diameter Section</t>
  </si>
  <si>
    <t>External Pressure Section</t>
  </si>
  <si>
    <t>Kinetic Energy Section</t>
  </si>
  <si>
    <t>Colebrook relation for f</t>
  </si>
  <si>
    <t>Pump Work Section</t>
  </si>
  <si>
    <t>Pipe Friction Section</t>
  </si>
  <si>
    <t>number</t>
  </si>
  <si>
    <t>Description of fittings</t>
  </si>
  <si>
    <t xml:space="preserve">  u/s, Table 12-1, p. 490, fittings, vavles, etc.</t>
  </si>
  <si>
    <t xml:space="preserve">  s/c, calculated earlier in cell E9</t>
  </si>
  <si>
    <t xml:space="preserve">  s/c, formula in Table 12-10, p. 554</t>
  </si>
  <si>
    <t xml:space="preserve">  u/s, see narrative on page 499; also, Perry's 7th ed Table 10-49</t>
  </si>
  <si>
    <t xml:space="preserve">  s/c, eq 12-14a, p. 499=2*E81*E82/E84</t>
  </si>
  <si>
    <t xml:space="preserve">  u/s, same as D in cell E8</t>
  </si>
  <si>
    <t xml:space="preserve">  u/s; calculated from eq 12-14, p. 499</t>
  </si>
  <si>
    <t>QUANTITY</t>
  </si>
  <si>
    <t xml:space="preserve">  Formulae and notes</t>
  </si>
  <si>
    <t>Static Head
(Gravitation)</t>
  </si>
  <si>
    <t>Static Head
(Pressure)</t>
  </si>
  <si>
    <t>Dynamic Head
(Kinetic E)</t>
  </si>
  <si>
    <t>Dynamic Head
(Friction)</t>
  </si>
  <si>
    <r>
      <t>'p</t>
    </r>
    <r>
      <rPr>
        <vertAlign val="subscript"/>
        <sz val="10"/>
        <rFont val="Arial"/>
        <family val="2"/>
      </rPr>
      <t>s</t>
    </r>
  </si>
  <si>
    <t>total friction head</t>
  </si>
  <si>
    <t>kinetic energy head</t>
  </si>
  <si>
    <t>pressure head</t>
  </si>
  <si>
    <t>gravitational potential head</t>
  </si>
  <si>
    <t>total head (pump work @ 100% efficiency)</t>
  </si>
  <si>
    <t>total head in Watts</t>
  </si>
  <si>
    <t>Energy balance; summation of all gray cells</t>
  </si>
  <si>
    <r>
      <rPr>
        <sz val="10"/>
        <rFont val="Arial"/>
        <family val="2"/>
      </rPr>
      <t xml:space="preserve">  s/c; run solver to minimize </t>
    </r>
    <r>
      <rPr>
        <b/>
        <sz val="10"/>
        <color rgb="FF09FFFF"/>
        <rFont val="Arial"/>
        <family val="2"/>
      </rPr>
      <t xml:space="preserve">blue cell </t>
    </r>
    <r>
      <rPr>
        <sz val="10"/>
        <rFont val="Arial"/>
        <family val="2"/>
      </rPr>
      <t>with respect to cell E40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</si>
</sst>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"/>
    <numFmt numFmtId="165" formatCode="0.0"/>
    <numFmt numFmtId="166" formatCode="0.0000"/>
    <numFmt numFmtId="167" formatCode="0.000"/>
    <numFmt numFmtId="168" formatCode="&quot;$&quot;#,##0.00"/>
    <numFmt numFmtId="169" formatCode="&quot;$&quot;#,##0"/>
    <numFmt numFmtId="170" formatCode="0.000E+00"/>
  </numFmts>
  <fonts count="17" x14ac:knownFonts="1">
    <font>
      <sz val="10"/>
      <name val="Arial"/>
    </font>
    <font>
      <sz val="8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indexed="12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theme="0" tint="-0.249977111117893"/>
      <name val="Arial"/>
      <family val="2"/>
    </font>
    <font>
      <u/>
      <sz val="10"/>
      <name val="Arial"/>
      <family val="2"/>
    </font>
    <font>
      <b/>
      <sz val="10"/>
      <color rgb="FF09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2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/>
    <xf numFmtId="0" fontId="0" fillId="0" borderId="0" xfId="0" quotePrefix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167" fontId="0" fillId="0" borderId="0" xfId="0" applyNumberFormat="1"/>
    <xf numFmtId="168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4" fillId="0" borderId="0" xfId="0" applyFont="1" applyAlignment="1">
      <alignment wrapText="1"/>
    </xf>
    <xf numFmtId="0" fontId="5" fillId="0" borderId="0" xfId="0" applyFont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quotePrefix="1" applyFont="1"/>
    <xf numFmtId="0" fontId="0" fillId="3" borderId="0" xfId="0" applyFill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69" fontId="8" fillId="0" borderId="0" xfId="0" applyNumberFormat="1" applyFont="1"/>
    <xf numFmtId="169" fontId="4" fillId="0" borderId="0" xfId="0" applyNumberFormat="1" applyFont="1"/>
    <xf numFmtId="0" fontId="9" fillId="0" borderId="0" xfId="0" applyFont="1"/>
    <xf numFmtId="0" fontId="8" fillId="0" borderId="0" xfId="0" applyFont="1"/>
    <xf numFmtId="168" fontId="8" fillId="0" borderId="0" xfId="0" applyNumberFormat="1" applyFont="1"/>
    <xf numFmtId="167" fontId="8" fillId="0" borderId="0" xfId="0" applyNumberFormat="1" applyFont="1"/>
    <xf numFmtId="165" fontId="8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67" fontId="11" fillId="0" borderId="0" xfId="0" applyNumberFormat="1" applyFont="1"/>
    <xf numFmtId="165" fontId="11" fillId="0" borderId="0" xfId="0" applyNumberFormat="1" applyFont="1"/>
    <xf numFmtId="168" fontId="11" fillId="0" borderId="0" xfId="0" applyNumberFormat="1" applyFont="1"/>
    <xf numFmtId="169" fontId="11" fillId="0" borderId="0" xfId="0" applyNumberFormat="1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/>
    </xf>
    <xf numFmtId="168" fontId="13" fillId="0" borderId="0" xfId="0" applyNumberFormat="1" applyFont="1"/>
    <xf numFmtId="169" fontId="13" fillId="0" borderId="0" xfId="0" applyNumberFormat="1" applyFont="1"/>
    <xf numFmtId="167" fontId="13" fillId="0" borderId="0" xfId="0" applyNumberFormat="1" applyFont="1"/>
    <xf numFmtId="1" fontId="13" fillId="0" borderId="0" xfId="0" applyNumberFormat="1" applyFont="1"/>
    <xf numFmtId="170" fontId="0" fillId="0" borderId="0" xfId="0" applyNumberFormat="1"/>
    <xf numFmtId="11" fontId="0" fillId="0" borderId="0" xfId="0" applyNumberFormat="1" applyFill="1"/>
    <xf numFmtId="2" fontId="0" fillId="0" borderId="0" xfId="0" applyNumberFormat="1"/>
    <xf numFmtId="2" fontId="13" fillId="0" borderId="0" xfId="0" applyNumberFormat="1" applyFont="1"/>
    <xf numFmtId="0" fontId="0" fillId="4" borderId="0" xfId="0" applyFill="1"/>
    <xf numFmtId="0" fontId="4" fillId="4" borderId="0" xfId="0" applyFont="1" applyFill="1" applyAlignment="1">
      <alignment horizontal="right"/>
    </xf>
    <xf numFmtId="169" fontId="0" fillId="4" borderId="0" xfId="0" applyNumberFormat="1" applyFill="1"/>
    <xf numFmtId="0" fontId="4" fillId="0" borderId="0" xfId="0" quotePrefix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quotePrefix="1" applyFont="1" applyAlignment="1">
      <alignment horizontal="left"/>
    </xf>
    <xf numFmtId="0" fontId="4" fillId="0" borderId="0" xfId="0" applyFont="1" applyAlignment="1">
      <alignment horizontal="center" vertical="center" textRotation="90" wrapText="1"/>
    </xf>
    <xf numFmtId="164" fontId="0" fillId="0" borderId="0" xfId="0" applyNumberFormat="1" applyFill="1" applyProtection="1">
      <protection locked="0"/>
    </xf>
    <xf numFmtId="0" fontId="4" fillId="0" borderId="0" xfId="0" quotePrefix="1" applyFont="1" applyAlignment="1">
      <alignment wrapText="1"/>
    </xf>
    <xf numFmtId="0" fontId="15" fillId="0" borderId="0" xfId="0" quotePrefix="1" applyFont="1"/>
    <xf numFmtId="0" fontId="4" fillId="0" borderId="0" xfId="0" quotePrefix="1" applyFont="1" applyAlignment="1">
      <alignment vertical="center"/>
    </xf>
    <xf numFmtId="0" fontId="15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0" xfId="0" quotePrefix="1" applyFont="1" applyFill="1"/>
    <xf numFmtId="164" fontId="0" fillId="0" borderId="0" xfId="0" applyNumberFormat="1" applyFill="1"/>
    <xf numFmtId="0" fontId="5" fillId="0" borderId="0" xfId="0" quotePrefix="1" applyFont="1"/>
    <xf numFmtId="0" fontId="4" fillId="5" borderId="0" xfId="0" applyFont="1" applyFill="1" applyAlignment="1">
      <alignment horizontal="center" vertical="center" textRotation="90" wrapText="1"/>
    </xf>
    <xf numFmtId="0" fontId="0" fillId="5" borderId="0" xfId="0" applyFill="1" applyAlignment="1">
      <alignment horizontal="center" vertical="center" textRotation="90"/>
    </xf>
    <xf numFmtId="0" fontId="2" fillId="0" borderId="0" xfId="0" quotePrefix="1" applyFont="1" applyAlignment="1">
      <alignment horizontal="center"/>
    </xf>
    <xf numFmtId="0" fontId="4" fillId="3" borderId="0" xfId="0" quotePrefix="1" applyFont="1" applyFill="1"/>
    <xf numFmtId="0" fontId="9" fillId="0" borderId="0" xfId="0" quotePrefix="1" applyFont="1"/>
    <xf numFmtId="0" fontId="4" fillId="0" borderId="0" xfId="0" quotePrefix="1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0" fillId="5" borderId="0" xfId="0" applyFill="1" applyAlignment="1">
      <alignment vertical="center"/>
    </xf>
    <xf numFmtId="165" fontId="0" fillId="5" borderId="0" xfId="0" applyNumberFormat="1" applyFill="1"/>
    <xf numFmtId="0" fontId="0" fillId="6" borderId="0" xfId="0" applyFill="1" applyProtection="1"/>
    <xf numFmtId="0" fontId="16" fillId="0" borderId="0" xfId="0" quotePrefix="1" applyFont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9FFFF"/>
      <color rgb="FF79FFFF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</c:f>
              <c:strCache>
                <c:ptCount val="1"/>
                <c:pt idx="0">
                  <c:v>Sch. 40, welded carbon steel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'pipe cost'!$D$13:$D$28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cost'!$E$13:$E$28</c:f>
              <c:numCache>
                <c:formatCode>0.0</c:formatCode>
                <c:ptCount val="16"/>
                <c:pt idx="0">
                  <c:v>2.7</c:v>
                </c:pt>
                <c:pt idx="1">
                  <c:v>3.6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 formatCode="0">
                  <c:v>11</c:v>
                </c:pt>
                <c:pt idx="6" formatCode="0">
                  <c:v>13</c:v>
                </c:pt>
                <c:pt idx="7" formatCode="0">
                  <c:v>15</c:v>
                </c:pt>
                <c:pt idx="8" formatCode="0">
                  <c:v>18</c:v>
                </c:pt>
                <c:pt idx="9" formatCode="0">
                  <c:v>30</c:v>
                </c:pt>
                <c:pt idx="10" formatCode="0">
                  <c:v>49</c:v>
                </c:pt>
                <c:pt idx="11" formatCode="0">
                  <c:v>81</c:v>
                </c:pt>
                <c:pt idx="12" formatCode="0">
                  <c:v>109</c:v>
                </c:pt>
                <c:pt idx="13" formatCode="0">
                  <c:v>127</c:v>
                </c:pt>
                <c:pt idx="14" formatCode="0">
                  <c:v>129</c:v>
                </c:pt>
                <c:pt idx="15" formatCode="0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64-46C7-BDA8-5277D2C0EB5D}"/>
            </c:ext>
          </c:extLst>
        </c:ser>
        <c:ser>
          <c:idx val="1"/>
          <c:order val="1"/>
          <c:tx>
            <c:strRef>
              <c:f>'pipe cost'!$I$1</c:f>
              <c:strCache>
                <c:ptCount val="1"/>
                <c:pt idx="0">
                  <c:v>Sch. 80, welded carbon steel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'pipe cost'!$I$13:$I$28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cost'!$J$13:$J$28</c:f>
              <c:numCache>
                <c:formatCode>0.0</c:formatCode>
                <c:ptCount val="16"/>
                <c:pt idx="0">
                  <c:v>6.5</c:v>
                </c:pt>
                <c:pt idx="1">
                  <c:v>7.4</c:v>
                </c:pt>
                <c:pt idx="2">
                  <c:v>9.4</c:v>
                </c:pt>
                <c:pt idx="3">
                  <c:v>12</c:v>
                </c:pt>
                <c:pt idx="4">
                  <c:v>14.5</c:v>
                </c:pt>
                <c:pt idx="5" formatCode="General">
                  <c:v>18</c:v>
                </c:pt>
                <c:pt idx="6" formatCode="General">
                  <c:v>22</c:v>
                </c:pt>
                <c:pt idx="7" formatCode="General">
                  <c:v>27</c:v>
                </c:pt>
                <c:pt idx="8" formatCode="General">
                  <c:v>32</c:v>
                </c:pt>
                <c:pt idx="9" formatCode="General">
                  <c:v>55</c:v>
                </c:pt>
                <c:pt idx="10" formatCode="General">
                  <c:v>101</c:v>
                </c:pt>
                <c:pt idx="11" formatCode="General">
                  <c:v>185</c:v>
                </c:pt>
                <c:pt idx="12" formatCode="General">
                  <c:v>260</c:v>
                </c:pt>
                <c:pt idx="13" formatCode="General">
                  <c:v>315</c:v>
                </c:pt>
                <c:pt idx="14" formatCode="General">
                  <c:v>320</c:v>
                </c:pt>
                <c:pt idx="15" formatCode="General">
                  <c:v>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64-46C7-BDA8-5277D2C0EB5D}"/>
            </c:ext>
          </c:extLst>
        </c:ser>
        <c:ser>
          <c:idx val="2"/>
          <c:order val="2"/>
          <c:tx>
            <c:strRef>
              <c:f>'pipe cost'!$D$65</c:f>
              <c:strCache>
                <c:ptCount val="1"/>
                <c:pt idx="0">
                  <c:v>Sch. 10,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cost'!$D$73:$D$85</c:f>
              <c:numCache>
                <c:formatCode>0.000</c:formatCode>
                <c:ptCount val="13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</c:numCache>
            </c:numRef>
          </c:xVal>
          <c:yVal>
            <c:numRef>
              <c:f>'pipe cost'!$E$73:$E$85</c:f>
              <c:numCache>
                <c:formatCode>0</c:formatCode>
                <c:ptCount val="13"/>
                <c:pt idx="0">
                  <c:v>29</c:v>
                </c:pt>
                <c:pt idx="1">
                  <c:v>34</c:v>
                </c:pt>
                <c:pt idx="2">
                  <c:v>43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160</c:v>
                </c:pt>
                <c:pt idx="11">
                  <c:v>260</c:v>
                </c:pt>
                <c:pt idx="12">
                  <c:v>420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64-46C7-BDA8-5277D2C0EB5D}"/>
            </c:ext>
          </c:extLst>
        </c:ser>
        <c:ser>
          <c:idx val="3"/>
          <c:order val="3"/>
          <c:tx>
            <c:strRef>
              <c:f>'pipe cost'!$I$65</c:f>
              <c:strCache>
                <c:ptCount val="1"/>
                <c:pt idx="0">
                  <c:v>Sch. 40,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cost'!$I$73:$I$88</c:f>
              <c:numCache>
                <c:formatCode>0.000</c:formatCode>
                <c:ptCount val="16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</c:numCache>
            </c:numRef>
          </c:xVal>
          <c:yVal>
            <c:numRef>
              <c:f>'pipe cost'!$J$73:$J$88</c:f>
              <c:numCache>
                <c:formatCode>0</c:formatCode>
                <c:ptCount val="16"/>
                <c:pt idx="0">
                  <c:v>35</c:v>
                </c:pt>
                <c:pt idx="1">
                  <c:v>47</c:v>
                </c:pt>
                <c:pt idx="2">
                  <c:v>64</c:v>
                </c:pt>
                <c:pt idx="3">
                  <c:v>84</c:v>
                </c:pt>
                <c:pt idx="4">
                  <c:v>105</c:v>
                </c:pt>
                <c:pt idx="5">
                  <c:v>130</c:v>
                </c:pt>
                <c:pt idx="6">
                  <c:v>152</c:v>
                </c:pt>
                <c:pt idx="7">
                  <c:v>178</c:v>
                </c:pt>
                <c:pt idx="8">
                  <c:v>200</c:v>
                </c:pt>
                <c:pt idx="9">
                  <c:v>225</c:v>
                </c:pt>
                <c:pt idx="10">
                  <c:v>350</c:v>
                </c:pt>
                <c:pt idx="11">
                  <c:v>560</c:v>
                </c:pt>
                <c:pt idx="12">
                  <c:v>950</c:v>
                </c:pt>
                <c:pt idx="13">
                  <c:v>1350</c:v>
                </c:pt>
                <c:pt idx="14">
                  <c:v>1650</c:v>
                </c:pt>
                <c:pt idx="15">
                  <c:v>1900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64-46C7-BDA8-5277D2C0EB5D}"/>
            </c:ext>
          </c:extLst>
        </c:ser>
        <c:ser>
          <c:idx val="4"/>
          <c:order val="4"/>
          <c:tx>
            <c:strRef>
              <c:f>'pipe cost'!$N$65</c:f>
              <c:strCache>
                <c:ptCount val="1"/>
                <c:pt idx="0">
                  <c:v>Sch. 80,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cost'!$N$73:$N$85</c:f>
              <c:numCache>
                <c:formatCode>0.000</c:formatCode>
                <c:ptCount val="13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0.08</c:v>
                </c:pt>
                <c:pt idx="5">
                  <c:v>0.09</c:v>
                </c:pt>
                <c:pt idx="6">
                  <c:v>0.1</c:v>
                </c:pt>
                <c:pt idx="7">
                  <c:v>0.14000000000000001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0.6</c:v>
                </c:pt>
              </c:numCache>
            </c:numRef>
          </c:xVal>
          <c:yVal>
            <c:numRef>
              <c:f>'pipe cost'!$O$73:$O$85</c:f>
              <c:numCache>
                <c:formatCode>0</c:formatCode>
                <c:ptCount val="13"/>
                <c:pt idx="0">
                  <c:v>120</c:v>
                </c:pt>
                <c:pt idx="1">
                  <c:v>155</c:v>
                </c:pt>
                <c:pt idx="2">
                  <c:v>198</c:v>
                </c:pt>
                <c:pt idx="3">
                  <c:v>250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650</c:v>
                </c:pt>
                <c:pt idx="8">
                  <c:v>1000</c:v>
                </c:pt>
                <c:pt idx="9">
                  <c:v>1600</c:v>
                </c:pt>
                <c:pt idx="10">
                  <c:v>2200</c:v>
                </c:pt>
                <c:pt idx="11">
                  <c:v>2900</c:v>
                </c:pt>
                <c:pt idx="12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64-46C7-BDA8-5277D2C0EB5D}"/>
            </c:ext>
          </c:extLst>
        </c:ser>
        <c:ser>
          <c:idx val="5"/>
          <c:order val="5"/>
          <c:tx>
            <c:strRef>
              <c:f>'pipe cost'!$D$31</c:f>
              <c:strCache>
                <c:ptCount val="1"/>
                <c:pt idx="0">
                  <c:v>Sch. 40 Carbon-steel screwed, welded seam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cost'!$D$38:$D$45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cost'!$E$38:$E$45</c:f>
              <c:numCache>
                <c:formatCode>0.0</c:formatCode>
                <c:ptCount val="8"/>
                <c:pt idx="0">
                  <c:v>1.4</c:v>
                </c:pt>
                <c:pt idx="1">
                  <c:v>1.8</c:v>
                </c:pt>
                <c:pt idx="2">
                  <c:v>2.4500000000000002</c:v>
                </c:pt>
                <c:pt idx="3">
                  <c:v>3.5</c:v>
                </c:pt>
                <c:pt idx="4">
                  <c:v>5</c:v>
                </c:pt>
                <c:pt idx="5">
                  <c:v>6.8</c:v>
                </c:pt>
                <c:pt idx="6">
                  <c:v>9</c:v>
                </c:pt>
                <c:pt idx="7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64-46C7-BDA8-5277D2C0EB5D}"/>
            </c:ext>
          </c:extLst>
        </c:ser>
        <c:ser>
          <c:idx val="6"/>
          <c:order val="6"/>
          <c:tx>
            <c:strRef>
              <c:f>'pipe cost'!$D$48</c:f>
              <c:strCache>
                <c:ptCount val="1"/>
                <c:pt idx="0">
                  <c:v>Sch. 40 Carbon-steel screwed, seamless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cost'!$D$55:$D$62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cost'!$E$55:$E$62</c:f>
              <c:numCache>
                <c:formatCode>0.0</c:formatCode>
                <c:ptCount val="8"/>
                <c:pt idx="0">
                  <c:v>1.9</c:v>
                </c:pt>
                <c:pt idx="1">
                  <c:v>2.2999999999999998</c:v>
                </c:pt>
                <c:pt idx="2">
                  <c:v>3.3</c:v>
                </c:pt>
                <c:pt idx="3">
                  <c:v>4.9000000000000004</c:v>
                </c:pt>
                <c:pt idx="4">
                  <c:v>7</c:v>
                </c:pt>
                <c:pt idx="5">
                  <c:v>10</c:v>
                </c:pt>
                <c:pt idx="6">
                  <c:v>14</c:v>
                </c:pt>
                <c:pt idx="7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664-46C7-BDA8-5277D2C0EB5D}"/>
            </c:ext>
          </c:extLst>
        </c:ser>
        <c:ser>
          <c:idx val="7"/>
          <c:order val="7"/>
          <c:tx>
            <c:strRef>
              <c:f>'pipe cost'!$I$31</c:f>
              <c:strCache>
                <c:ptCount val="1"/>
                <c:pt idx="0">
                  <c:v>Sch. 80 Carbon-steel screwed, seamless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cost'!$I$38:$I$45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cost'!$J$38:$J$45</c:f>
              <c:numCache>
                <c:formatCode>0.0</c:formatCode>
                <c:ptCount val="8"/>
                <c:pt idx="0">
                  <c:v>4.5</c:v>
                </c:pt>
                <c:pt idx="1">
                  <c:v>6.5</c:v>
                </c:pt>
                <c:pt idx="2">
                  <c:v>8.9</c:v>
                </c:pt>
                <c:pt idx="3">
                  <c:v>10.199999999999999</c:v>
                </c:pt>
                <c:pt idx="4">
                  <c:v>12</c:v>
                </c:pt>
                <c:pt idx="5">
                  <c:v>13</c:v>
                </c:pt>
                <c:pt idx="6">
                  <c:v>13.5</c:v>
                </c:pt>
                <c:pt idx="7">
                  <c:v>13.6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64-46C7-BDA8-5277D2C0EB5D}"/>
            </c:ext>
          </c:extLst>
        </c:ser>
        <c:ser>
          <c:idx val="8"/>
          <c:order val="8"/>
          <c:tx>
            <c:strRef>
              <c:f>'pipe cost'!$I$48</c:f>
              <c:strCache>
                <c:ptCount val="1"/>
                <c:pt idx="0">
                  <c:v>Sch. 80 Carbon-steel screwed, welded seam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cost'!$I$55:$I$62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cost'!$J$55:$J$62</c:f>
              <c:numCache>
                <c:formatCode>0.0</c:formatCode>
                <c:ptCount val="8"/>
                <c:pt idx="0">
                  <c:v>5.3</c:v>
                </c:pt>
                <c:pt idx="1">
                  <c:v>8.9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16.5</c:v>
                </c:pt>
                <c:pt idx="7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64-46C7-BDA8-5277D2C0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800072"/>
        <c:axId val="1"/>
      </c:scatterChart>
      <c:valAx>
        <c:axId val="101980007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80007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Price, PTW 3rd ed., p. 529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cost'!$D$124:$D$140</c:f>
              <c:numCache>
                <c:formatCode>0.000</c:formatCode>
                <c:ptCount val="17"/>
                <c:pt idx="0">
                  <c:v>0.75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24</c:v>
                </c:pt>
              </c:numCache>
            </c:numRef>
          </c:xVal>
          <c:yVal>
            <c:numRef>
              <c:f>'pipe cost'!$F$124:$F$140</c:f>
              <c:numCache>
                <c:formatCode>0.0</c:formatCode>
                <c:ptCount val="17"/>
                <c:pt idx="0">
                  <c:v>4.8121212121212116</c:v>
                </c:pt>
                <c:pt idx="1">
                  <c:v>4.9046620046620042</c:v>
                </c:pt>
                <c:pt idx="2">
                  <c:v>5.1822843822843812</c:v>
                </c:pt>
                <c:pt idx="3">
                  <c:v>5.3673659673659664</c:v>
                </c:pt>
                <c:pt idx="4">
                  <c:v>6.8480186480186473</c:v>
                </c:pt>
                <c:pt idx="5">
                  <c:v>8.698834498834497</c:v>
                </c:pt>
                <c:pt idx="6">
                  <c:v>12.030303030303028</c:v>
                </c:pt>
                <c:pt idx="7">
                  <c:v>15.731934731934729</c:v>
                </c:pt>
                <c:pt idx="8">
                  <c:v>20.358974358974358</c:v>
                </c:pt>
                <c:pt idx="9">
                  <c:v>25.911421911421908</c:v>
                </c:pt>
                <c:pt idx="10">
                  <c:v>31.463869463869457</c:v>
                </c:pt>
                <c:pt idx="11">
                  <c:v>38.86713286713286</c:v>
                </c:pt>
                <c:pt idx="12">
                  <c:v>44.419580419580413</c:v>
                </c:pt>
                <c:pt idx="13">
                  <c:v>51.822843822843815</c:v>
                </c:pt>
                <c:pt idx="14">
                  <c:v>88.839160839160826</c:v>
                </c:pt>
                <c:pt idx="15">
                  <c:v>124.00466200466198</c:v>
                </c:pt>
                <c:pt idx="16">
                  <c:v>148.06526806526804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9-40EC-83A0-C3E893B3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6136"/>
        <c:axId val="1"/>
      </c:scatterChart>
      <c:valAx>
        <c:axId val="101979613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6136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Spacing, PTW, 3rd ed, p. 529 </a:t>
            </a:r>
          </a:p>
        </c:rich>
      </c:tx>
      <c:layout>
        <c:manualLayout>
          <c:xMode val="edge"/>
          <c:yMode val="edge"/>
          <c:x val="0.12859597095817568"/>
          <c:y val="2.61641967243177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0.13009910368461022"/>
          <c:w val="0.86520376175548586"/>
          <c:h val="0.72765222345916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cost'!$H$124:$H$134</c:f>
              <c:numCache>
                <c:formatCode>0.000</c:formatCode>
                <c:ptCount val="11"/>
                <c:pt idx="0">
                  <c:v>0.75</c:v>
                </c:pt>
                <c:pt idx="1">
                  <c:v>1.1000000000000001</c:v>
                </c:pt>
                <c:pt idx="2">
                  <c:v>1.5</c:v>
                </c:pt>
                <c:pt idx="3">
                  <c:v>1.9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12</c:v>
                </c:pt>
                <c:pt idx="9">
                  <c:v>20</c:v>
                </c:pt>
                <c:pt idx="10">
                  <c:v>24</c:v>
                </c:pt>
              </c:numCache>
            </c:numRef>
          </c:xVal>
          <c:yVal>
            <c:numRef>
              <c:f>'pipe cost'!$I$124:$I$134</c:f>
              <c:numCache>
                <c:formatCode>0</c:formatCode>
                <c:ptCount val="11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17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40</c:v>
                </c:pt>
                <c:pt idx="9">
                  <c:v>56</c:v>
                </c:pt>
                <c:pt idx="10">
                  <c:v>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F-4100-8910-3A637C40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8432"/>
        <c:axId val="1"/>
      </c:scatterChart>
      <c:valAx>
        <c:axId val="1019798432"/>
        <c:scaling>
          <c:logBase val="10"/>
          <c:orientation val="minMax"/>
          <c:max val="1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in</a:t>
                </a:r>
              </a:p>
            </c:rich>
          </c:tx>
          <c:layout>
            <c:manualLayout>
              <c:xMode val="edge"/>
              <c:yMode val="edge"/>
              <c:x val="0.42476497256024814"/>
              <c:y val="0.921445518000206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Spacing, ft</a:t>
                </a:r>
              </a:p>
            </c:rich>
          </c:tx>
          <c:layout>
            <c:manualLayout>
              <c:xMode val="edge"/>
              <c:yMode val="edge"/>
              <c:x val="4.1795347663921871E-3"/>
              <c:y val="0.390371473836040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843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97</xdr:row>
      <xdr:rowOff>0</xdr:rowOff>
    </xdr:from>
    <xdr:to>
      <xdr:col>3</xdr:col>
      <xdr:colOff>565150</xdr:colOff>
      <xdr:row>128</xdr:row>
      <xdr:rowOff>38100</xdr:rowOff>
    </xdr:to>
    <xdr:pic>
      <xdr:nvPicPr>
        <xdr:cNvPr id="6" name="Picture 7" descr="C2 board 1.jpg">
          <a:extLst>
            <a:ext uri="{FF2B5EF4-FFF2-40B4-BE49-F238E27FC236}">
              <a16:creationId xmlns:a16="http://schemas.microsoft.com/office/drawing/2014/main" id="{3EF59007-50FA-49CD-BF7B-D8D5B99D3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16300"/>
          <a:ext cx="4003675" cy="505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129</xdr:row>
      <xdr:rowOff>0</xdr:rowOff>
    </xdr:from>
    <xdr:to>
      <xdr:col>3</xdr:col>
      <xdr:colOff>358775</xdr:colOff>
      <xdr:row>139</xdr:row>
      <xdr:rowOff>50800</xdr:rowOff>
    </xdr:to>
    <xdr:grpSp>
      <xdr:nvGrpSpPr>
        <xdr:cNvPr id="7" name="Group 7">
          <a:extLst>
            <a:ext uri="{FF2B5EF4-FFF2-40B4-BE49-F238E27FC236}">
              <a16:creationId xmlns:a16="http://schemas.microsoft.com/office/drawing/2014/main" id="{95BBCD1D-C702-48CD-B5C8-42FC566763D8}"/>
            </a:ext>
          </a:extLst>
        </xdr:cNvPr>
        <xdr:cNvGrpSpPr>
          <a:grpSpLocks/>
        </xdr:cNvGrpSpPr>
      </xdr:nvGrpSpPr>
      <xdr:grpSpPr bwMode="auto">
        <a:xfrm>
          <a:off x="609600" y="22107525"/>
          <a:ext cx="3797300" cy="1670050"/>
          <a:chOff x="658" y="1148"/>
          <a:chExt cx="385" cy="178"/>
        </a:xfrm>
      </xdr:grpSpPr>
      <xdr:sp macro="" textlink="">
        <xdr:nvSpPr>
          <xdr:cNvPr id="8" name="Rectangle 6">
            <a:extLst>
              <a:ext uri="{FF2B5EF4-FFF2-40B4-BE49-F238E27FC236}">
                <a16:creationId xmlns:a16="http://schemas.microsoft.com/office/drawing/2014/main" id="{3ABC5E63-67C3-40B6-B1A6-4746817CB99B}"/>
              </a:ext>
            </a:extLst>
          </xdr:cNvPr>
          <xdr:cNvSpPr>
            <a:spLocks noChangeArrowheads="1"/>
          </xdr:cNvSpPr>
        </xdr:nvSpPr>
        <xdr:spPr bwMode="auto">
          <a:xfrm>
            <a:off x="658" y="1148"/>
            <a:ext cx="385" cy="17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9" name="Picture 5">
            <a:extLst>
              <a:ext uri="{FF2B5EF4-FFF2-40B4-BE49-F238E27FC236}">
                <a16:creationId xmlns:a16="http://schemas.microsoft.com/office/drawing/2014/main" id="{F01C48DE-385C-480E-AFAE-E413EC08A9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" y="1180"/>
            <a:ext cx="340" cy="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22</xdr:col>
      <xdr:colOff>393700</xdr:colOff>
      <xdr:row>29</xdr:row>
      <xdr:rowOff>76200</xdr:rowOff>
    </xdr:to>
    <xdr:graphicFrame macro="">
      <xdr:nvGraphicFramePr>
        <xdr:cNvPr id="2140" name="Chart 1">
          <a:extLst>
            <a:ext uri="{FF2B5EF4-FFF2-40B4-BE49-F238E27FC236}">
              <a16:creationId xmlns:a16="http://schemas.microsoft.com/office/drawing/2014/main" id="{B8E5C83D-62B5-44B6-8D1C-BFE135E9A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120</xdr:row>
      <xdr:rowOff>0</xdr:rowOff>
    </xdr:from>
    <xdr:to>
      <xdr:col>19</xdr:col>
      <xdr:colOff>393700</xdr:colOff>
      <xdr:row>147</xdr:row>
      <xdr:rowOff>76200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3567D57-4AAF-43E1-A403-C105871BD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106</xdr:row>
      <xdr:rowOff>0</xdr:rowOff>
    </xdr:from>
    <xdr:to>
      <xdr:col>14</xdr:col>
      <xdr:colOff>330200</xdr:colOff>
      <xdr:row>119</xdr:row>
      <xdr:rowOff>50800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61ABA37-F93E-4F0D-939E-A44E2E18C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0.15783</cdr:x>
      <cdr:y>0.57383</cdr:y>
    </cdr:from>
    <cdr:to>
      <cdr:x>0.33504</cdr:x>
      <cdr:y>0.59655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69926" y="2733676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Carbon-steel screwed pipe, Sch. 80</a:t>
          </a:r>
        </a:p>
      </cdr:txBody>
    </cdr:sp>
  </cdr:relSizeAnchor>
  <cdr:relSizeAnchor xmlns:cdr="http://schemas.openxmlformats.org/drawingml/2006/chartDrawing">
    <cdr:from>
      <cdr:x>0.18726</cdr:x>
      <cdr:y>0.59841</cdr:y>
    </cdr:from>
    <cdr:to>
      <cdr:x>0.23277</cdr:x>
      <cdr:y>0.61765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0425" y="2855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0.18726</cdr:x>
      <cdr:y>0.62369</cdr:y>
    </cdr:from>
    <cdr:to>
      <cdr:x>0.23277</cdr:x>
      <cdr:y>0.64341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60426" y="2982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0.23364</cdr:x>
      <cdr:y>0.61023</cdr:y>
    </cdr:from>
    <cdr:to>
      <cdr:x>0.26868</cdr:x>
      <cdr:y>0.63157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3F5102C7-37A0-440F-9824-7468D9C9A21A}"/>
            </a:ext>
          </a:extLst>
        </cdr:cNvPr>
        <cdr:cNvCxnSpPr/>
      </cdr:nvCxnSpPr>
      <cdr:spPr>
        <a:xfrm xmlns:a="http://schemas.openxmlformats.org/drawingml/2006/main">
          <a:off x="1164167" y="2915709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0.23155</cdr:x>
      <cdr:y>0.6376</cdr:y>
    </cdr:from>
    <cdr:to>
      <cdr:x>0.26659</cdr:x>
      <cdr:y>0.65894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8B16263-2C53-43E7-BA51-93E3B41DE93E}"/>
            </a:ext>
          </a:extLst>
        </cdr:cNvPr>
        <cdr:cNvCxnSpPr/>
      </cdr:nvCxnSpPr>
      <cdr:spPr>
        <a:xfrm xmlns:a="http://schemas.openxmlformats.org/drawingml/2006/main">
          <a:off x="1151467" y="3051175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0.41838</cdr:x>
      <cdr:y>0.69396</cdr:y>
    </cdr:from>
    <cdr:to>
      <cdr:x>0.5951</cdr:x>
      <cdr:y>0.71668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368551" y="3331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Carbon-steel screwed pipe, Sch. 40</a:t>
          </a:r>
        </a:p>
      </cdr:txBody>
    </cdr:sp>
  </cdr:relSizeAnchor>
  <cdr:relSizeAnchor xmlns:cdr="http://schemas.openxmlformats.org/drawingml/2006/chartDrawing">
    <cdr:from>
      <cdr:x>0.42375</cdr:x>
      <cdr:y>0.72063</cdr:y>
    </cdr:from>
    <cdr:to>
      <cdr:x>0.4695</cdr:x>
      <cdr:y>0.74035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405591" y="346392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0.42051</cdr:x>
      <cdr:y>0.74406</cdr:y>
    </cdr:from>
    <cdr:to>
      <cdr:x>0.46626</cdr:x>
      <cdr:y>0.76378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2384425" y="3580340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0.37895</cdr:x>
      <cdr:y>0.69651</cdr:y>
    </cdr:from>
    <cdr:to>
      <cdr:x>0.42022</cdr:x>
      <cdr:y>0.73177</cdr:y>
    </cdr:to>
    <cdr:cxnSp macro="">
      <cdr:nvCxnSpPr>
        <cdr:cNvPr id="11" name="Straight Arrow Connector 10">
          <a:extLst xmlns:a="http://schemas.openxmlformats.org/drawingml/2006/main">
            <a:ext uri="{FF2B5EF4-FFF2-40B4-BE49-F238E27FC236}">
              <a16:creationId xmlns:a16="http://schemas.microsoft.com/office/drawing/2014/main" id="{780BB240-47E8-4C06-A71D-2F49C51BC0B3}"/>
            </a:ext>
          </a:extLst>
        </cdr:cNvPr>
        <cdr:cNvCxnSpPr/>
      </cdr:nvCxnSpPr>
      <cdr:spPr>
        <a:xfrm xmlns:a="http://schemas.openxmlformats.org/drawingml/2006/main" flipH="1" flipV="1">
          <a:off x="2111375" y="3344334"/>
          <a:ext cx="269875" cy="17462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0.38605</cdr:x>
      <cdr:y>0.72201</cdr:y>
    </cdr:from>
    <cdr:to>
      <cdr:x>0.41761</cdr:x>
      <cdr:y>0.74986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303A1C2E-BA32-437A-AC73-3F4F395553B1}"/>
            </a:ext>
          </a:extLst>
        </cdr:cNvPr>
        <cdr:cNvCxnSpPr/>
      </cdr:nvCxnSpPr>
      <cdr:spPr>
        <a:xfrm xmlns:a="http://schemas.openxmlformats.org/drawingml/2006/main" flipH="1" flipV="1">
          <a:off x="2159001" y="3471335"/>
          <a:ext cx="206374" cy="13758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0.30076</cdr:x>
      <cdr:y>0.33633</cdr:y>
    </cdr:from>
    <cdr:to>
      <cdr:x>0.47773</cdr:x>
      <cdr:y>0.35906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1601258" y="1553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Stainless-steel</a:t>
          </a:r>
          <a:r>
            <a:rPr lang="en-US" sz="600" baseline="0">
              <a:ln>
                <a:noFill/>
              </a:ln>
              <a:solidFill>
                <a:srgbClr val="0000FF"/>
              </a:solidFill>
            </a:rPr>
            <a:t> welded pipe</a:t>
          </a:r>
          <a:endParaRPr lang="en-US" sz="600">
            <a:ln>
              <a:noFill/>
            </a:ln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0.35003</cdr:x>
      <cdr:y>0.36184</cdr:y>
    </cdr:from>
    <cdr:to>
      <cdr:x>0.39578</cdr:x>
      <cdr:y>0.38156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1924049" y="168063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0.35178</cdr:x>
      <cdr:y>0.38969</cdr:y>
    </cdr:from>
    <cdr:to>
      <cdr:x>0.39752</cdr:x>
      <cdr:y>0.40916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1934633" y="181821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0.39104</cdr:x>
      <cdr:y>0.37507</cdr:y>
    </cdr:from>
    <cdr:to>
      <cdr:x>0.4226</cdr:x>
      <cdr:y>0.40382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4A2F4771-2825-433A-B092-85904BFB11FB}"/>
            </a:ext>
          </a:extLst>
        </cdr:cNvPr>
        <cdr:cNvCxnSpPr/>
      </cdr:nvCxnSpPr>
      <cdr:spPr>
        <a:xfrm xmlns:a="http://schemas.openxmlformats.org/drawingml/2006/main">
          <a:off x="2190750" y="1746251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0.34354</cdr:x>
      <cdr:y>0.43236</cdr:y>
    </cdr:from>
    <cdr:to>
      <cdr:x>0.38929</cdr:x>
      <cdr:y>0.45159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1881717" y="202988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10</a:t>
          </a:r>
        </a:p>
      </cdr:txBody>
    </cdr:sp>
  </cdr:relSizeAnchor>
  <cdr:relSizeAnchor xmlns:cdr="http://schemas.openxmlformats.org/drawingml/2006/chartDrawing">
    <cdr:from>
      <cdr:x>0.39219</cdr:x>
      <cdr:y>0.40336</cdr:y>
    </cdr:from>
    <cdr:to>
      <cdr:x>0.42375</cdr:x>
      <cdr:y>0.43236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936FB89E-AE13-4164-859A-C7FF1F875F3D}"/>
            </a:ext>
          </a:extLst>
        </cdr:cNvPr>
        <cdr:cNvCxnSpPr/>
      </cdr:nvCxnSpPr>
      <cdr:spPr>
        <a:xfrm xmlns:a="http://schemas.openxmlformats.org/drawingml/2006/main">
          <a:off x="2199217" y="1887008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0.38368</cdr:x>
      <cdr:y>0.44626</cdr:y>
    </cdr:from>
    <cdr:to>
      <cdr:x>0.41726</cdr:x>
      <cdr:y>0.47897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B24D7C2E-8FB8-4335-BF93-AF097714619F}"/>
            </a:ext>
          </a:extLst>
        </cdr:cNvPr>
        <cdr:cNvCxnSpPr/>
      </cdr:nvCxnSpPr>
      <cdr:spPr>
        <a:xfrm xmlns:a="http://schemas.openxmlformats.org/drawingml/2006/main">
          <a:off x="2143125" y="2100792"/>
          <a:ext cx="220133" cy="16192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0.67269</cdr:x>
      <cdr:y>0.50773</cdr:y>
    </cdr:from>
    <cdr:to>
      <cdr:x>0.84892</cdr:x>
      <cdr:y>0.53045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4024841" y="2405592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Carbon-steel</a:t>
          </a:r>
          <a:r>
            <a:rPr lang="en-US" sz="600" baseline="0">
              <a:ln>
                <a:noFill/>
              </a:ln>
              <a:solidFill>
                <a:schemeClr val="tx1"/>
              </a:solidFill>
            </a:rPr>
            <a:t> welded pipe</a:t>
          </a:r>
          <a:endParaRPr lang="en-US" sz="600">
            <a:ln>
              <a:noFill/>
            </a:ln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0.6994</cdr:x>
      <cdr:y>0.53532</cdr:y>
    </cdr:from>
    <cdr:to>
      <cdr:x>0.74514</cdr:x>
      <cdr:y>0.55504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4204758" y="2543175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0.70114</cdr:x>
      <cdr:y>0.56316</cdr:y>
    </cdr:from>
    <cdr:to>
      <cdr:x>0.74689</cdr:x>
      <cdr:y>0.58263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4215342" y="2680756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0.65845</cdr:x>
      <cdr:y>0.46343</cdr:y>
    </cdr:from>
    <cdr:to>
      <cdr:x>0.70149</cdr:x>
      <cdr:y>0.54112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06CCC4B6-1260-4B89-8913-5BFCF6DB5329}"/>
            </a:ext>
          </a:extLst>
        </cdr:cNvPr>
        <cdr:cNvCxnSpPr/>
      </cdr:nvCxnSpPr>
      <cdr:spPr>
        <a:xfrm xmlns:a="http://schemas.openxmlformats.org/drawingml/2006/main" flipH="1" flipV="1">
          <a:off x="3937000" y="2185459"/>
          <a:ext cx="280459" cy="38629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0.6632</cdr:x>
      <cdr:y>0.51886</cdr:y>
    </cdr:from>
    <cdr:to>
      <cdr:x>0.70201</cdr:x>
      <cdr:y>0.57266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FE6D5EEE-A15D-423F-83FB-63B205849409}"/>
            </a:ext>
          </a:extLst>
        </cdr:cNvPr>
        <cdr:cNvCxnSpPr/>
      </cdr:nvCxnSpPr>
      <cdr:spPr>
        <a:xfrm xmlns:a="http://schemas.openxmlformats.org/drawingml/2006/main" flipH="1" flipV="1">
          <a:off x="3968750" y="2460625"/>
          <a:ext cx="251884" cy="267759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0.87729</cdr:x>
      <cdr:y>0.80817</cdr:y>
    </cdr:from>
    <cdr:to>
      <cdr:x>0.9605</cdr:x>
      <cdr:y>0.83896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E1B6D943-1C78-41E3-A049-6AD9362D5CF5}"/>
            </a:ext>
          </a:extLst>
        </cdr:cNvPr>
        <cdr:cNvSpPr txBox="1"/>
      </cdr:nvSpPr>
      <cdr:spPr>
        <a:xfrm xmlns:a="http://schemas.openxmlformats.org/drawingml/2006/main">
          <a:off x="5140215" y="3555452"/>
          <a:ext cx="487563" cy="1354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>
              <a:ln>
                <a:noFill/>
              </a:ln>
              <a:solidFill>
                <a:sysClr val="windowText" lastClr="000000"/>
              </a:solidFill>
            </a:rPr>
            <a:t>Jan. 2002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3"/>
  <sheetViews>
    <sheetView topLeftCell="A19" workbookViewId="0">
      <selection activeCell="K36" sqref="K36"/>
    </sheetView>
  </sheetViews>
  <sheetFormatPr defaultRowHeight="12.75" x14ac:dyDescent="0.2"/>
  <cols>
    <col min="2" max="2" width="39.140625" bestFit="1" customWidth="1"/>
    <col min="3" max="3" width="12.42578125" customWidth="1"/>
    <col min="4" max="4" width="15.140625" bestFit="1" customWidth="1"/>
    <col min="5" max="6" width="14.5703125" customWidth="1"/>
    <col min="7" max="7" width="56.42578125" bestFit="1" customWidth="1"/>
    <col min="10" max="10" width="9.140625" customWidth="1"/>
  </cols>
  <sheetData>
    <row r="1" spans="1:11" x14ac:dyDescent="0.2">
      <c r="B1" s="75" t="s">
        <v>81</v>
      </c>
      <c r="D1" s="80" t="s">
        <v>149</v>
      </c>
    </row>
    <row r="2" spans="1:11" x14ac:dyDescent="0.2">
      <c r="D2" s="79" t="s">
        <v>178</v>
      </c>
      <c r="E2" s="31"/>
      <c r="F2" s="31"/>
    </row>
    <row r="4" spans="1:11" x14ac:dyDescent="0.2">
      <c r="B4" s="4" t="s">
        <v>237</v>
      </c>
      <c r="C4" s="64" t="s">
        <v>155</v>
      </c>
      <c r="D4" s="65" t="s">
        <v>156</v>
      </c>
      <c r="E4" s="28" t="s">
        <v>150</v>
      </c>
      <c r="F4" s="64" t="s">
        <v>157</v>
      </c>
      <c r="G4" s="75" t="s">
        <v>238</v>
      </c>
    </row>
    <row r="5" spans="1:11" x14ac:dyDescent="0.2">
      <c r="B5" t="s">
        <v>0</v>
      </c>
      <c r="C5" s="78" t="s">
        <v>2</v>
      </c>
      <c r="D5" s="29" t="s">
        <v>13</v>
      </c>
      <c r="E5" s="21">
        <v>1.1199999999999999E-3</v>
      </c>
      <c r="F5" s="62" t="s">
        <v>161</v>
      </c>
      <c r="G5" s="30" t="s">
        <v>179</v>
      </c>
    </row>
    <row r="6" spans="1:11" ht="14.25" x14ac:dyDescent="0.2">
      <c r="B6" t="s">
        <v>1</v>
      </c>
      <c r="C6" s="78" t="s">
        <v>53</v>
      </c>
      <c r="D6" s="29" t="s">
        <v>14</v>
      </c>
      <c r="E6" s="21">
        <v>997</v>
      </c>
      <c r="F6" s="62" t="s">
        <v>162</v>
      </c>
      <c r="G6" s="30" t="s">
        <v>180</v>
      </c>
    </row>
    <row r="7" spans="1:11" ht="15.75" x14ac:dyDescent="0.3">
      <c r="B7" t="s">
        <v>46</v>
      </c>
      <c r="C7" s="62" t="s">
        <v>54</v>
      </c>
      <c r="D7" s="29" t="s">
        <v>15</v>
      </c>
      <c r="E7" s="21">
        <v>3.15E-3</v>
      </c>
      <c r="F7" s="62" t="s">
        <v>163</v>
      </c>
      <c r="G7" s="30" t="s">
        <v>180</v>
      </c>
    </row>
    <row r="8" spans="1:11" x14ac:dyDescent="0.2">
      <c r="B8" t="s">
        <v>57</v>
      </c>
      <c r="C8" s="62" t="s">
        <v>55</v>
      </c>
      <c r="D8" s="29" t="s">
        <v>2</v>
      </c>
      <c r="E8" s="22">
        <v>5.2499999999999998E-2</v>
      </c>
      <c r="F8" s="62" t="s">
        <v>55</v>
      </c>
      <c r="G8" s="30" t="s">
        <v>180</v>
      </c>
      <c r="K8" s="66"/>
    </row>
    <row r="9" spans="1:11" ht="14.25" x14ac:dyDescent="0.2">
      <c r="B9" t="s">
        <v>50</v>
      </c>
      <c r="C9" s="62" t="s">
        <v>56</v>
      </c>
      <c r="D9" s="29" t="s">
        <v>16</v>
      </c>
      <c r="E9" s="11">
        <f>PI()*D^2/4</f>
        <v>2.1647536878642167E-3</v>
      </c>
      <c r="F9" s="62" t="s">
        <v>56</v>
      </c>
      <c r="G9" s="30" t="s">
        <v>216</v>
      </c>
      <c r="K9" s="66"/>
    </row>
    <row r="10" spans="1:11" x14ac:dyDescent="0.2">
      <c r="B10" t="s">
        <v>5</v>
      </c>
      <c r="C10" s="62" t="s">
        <v>58</v>
      </c>
      <c r="D10" s="29" t="s">
        <v>6</v>
      </c>
      <c r="E10" s="11">
        <f>mv/A</f>
        <v>1.4551309082687576</v>
      </c>
      <c r="F10" s="62" t="s">
        <v>58</v>
      </c>
      <c r="G10" s="30" t="s">
        <v>217</v>
      </c>
      <c r="K10" s="66"/>
    </row>
    <row r="11" spans="1:11" ht="12.75" customHeight="1" x14ac:dyDescent="0.2">
      <c r="B11" t="s">
        <v>59</v>
      </c>
      <c r="C11" s="62" t="s">
        <v>3</v>
      </c>
      <c r="D11" s="29" t="s">
        <v>4</v>
      </c>
      <c r="E11" s="10">
        <f>D*v*rho/mu</f>
        <v>68004.633541122719</v>
      </c>
      <c r="F11" s="62" t="s">
        <v>3</v>
      </c>
      <c r="G11" s="30" t="s">
        <v>218</v>
      </c>
    </row>
    <row r="12" spans="1:11" x14ac:dyDescent="0.2">
      <c r="C12" s="5"/>
      <c r="D12" s="9"/>
      <c r="E12" s="10"/>
      <c r="F12" s="62"/>
      <c r="G12" s="30"/>
    </row>
    <row r="13" spans="1:11" x14ac:dyDescent="0.2">
      <c r="B13" s="8" t="s">
        <v>222</v>
      </c>
      <c r="C13" s="6"/>
      <c r="D13" s="6"/>
      <c r="E13" s="6"/>
      <c r="F13" s="6"/>
    </row>
    <row r="14" spans="1:11" ht="15.75" x14ac:dyDescent="0.3">
      <c r="A14" s="66"/>
      <c r="B14" s="7" t="s">
        <v>160</v>
      </c>
      <c r="C14" s="62" t="s">
        <v>60</v>
      </c>
      <c r="D14" s="29" t="s">
        <v>2</v>
      </c>
      <c r="E14" s="14">
        <f>IF(AND(Re&gt;2100,D&gt;0.0254),0.363*(mv^0.45)*(rho^0.13)*(mu^0.025),IF(AND(Re&gt;2100,D&lt;0.0254),0.49*(mv^0.49)*(rho^0.14)*(mu^0.027),IF(AND(Re&lt;2100,D&gt;0.0254),0.863*(mv^0.36)*(mu^0.18),1.33*(mv^0.4)*(rho^0.2))))</f>
        <v>5.626096738164562E-2</v>
      </c>
      <c r="F14" s="62" t="s">
        <v>164</v>
      </c>
      <c r="G14" s="30" t="s">
        <v>183</v>
      </c>
    </row>
    <row r="15" spans="1:11" ht="15.75" x14ac:dyDescent="0.3">
      <c r="A15" s="66"/>
      <c r="B15" t="s">
        <v>69</v>
      </c>
      <c r="C15" s="62" t="s">
        <v>61</v>
      </c>
      <c r="D15" s="29" t="s">
        <v>16</v>
      </c>
      <c r="E15" s="14">
        <f>PI()*Dopt^2/4</f>
        <v>2.486018019002844E-3</v>
      </c>
      <c r="F15" s="62" t="s">
        <v>165</v>
      </c>
      <c r="G15" s="30" t="s">
        <v>215</v>
      </c>
    </row>
    <row r="16" spans="1:11" ht="15.75" x14ac:dyDescent="0.3">
      <c r="A16" s="66"/>
      <c r="B16" t="s">
        <v>70</v>
      </c>
      <c r="C16" s="62" t="s">
        <v>63</v>
      </c>
      <c r="D16" s="29" t="s">
        <v>6</v>
      </c>
      <c r="E16" s="14">
        <f>mv/Aopt</f>
        <v>1.267086552036933</v>
      </c>
      <c r="F16" s="62" t="s">
        <v>166</v>
      </c>
      <c r="G16" s="30" t="s">
        <v>219</v>
      </c>
    </row>
    <row r="17" spans="1:8" ht="15.75" x14ac:dyDescent="0.3">
      <c r="A17" s="66"/>
      <c r="B17" t="s">
        <v>71</v>
      </c>
      <c r="C17" s="62" t="s">
        <v>62</v>
      </c>
      <c r="D17" s="29" t="s">
        <v>4</v>
      </c>
      <c r="E17" s="10">
        <f>Dopt*vopt*rho/mu</f>
        <v>63458.618418169732</v>
      </c>
      <c r="F17" s="62" t="s">
        <v>167</v>
      </c>
      <c r="G17" s="30" t="s">
        <v>220</v>
      </c>
      <c r="H17" s="4"/>
    </row>
    <row r="19" spans="1:8" x14ac:dyDescent="0.2">
      <c r="A19" s="76" t="s">
        <v>239</v>
      </c>
      <c r="B19" s="65" t="s">
        <v>181</v>
      </c>
      <c r="C19" s="29"/>
      <c r="D19" s="29"/>
      <c r="E19" s="29"/>
      <c r="F19" s="29"/>
    </row>
    <row r="20" spans="1:8" ht="15.75" customHeight="1" x14ac:dyDescent="0.3">
      <c r="A20" s="76"/>
      <c r="B20" t="s">
        <v>7</v>
      </c>
      <c r="C20" s="62" t="s">
        <v>64</v>
      </c>
      <c r="D20" s="29" t="s">
        <v>2</v>
      </c>
      <c r="E20" s="21">
        <v>0</v>
      </c>
      <c r="F20" s="62" t="s">
        <v>168</v>
      </c>
      <c r="G20" s="30" t="s">
        <v>180</v>
      </c>
    </row>
    <row r="21" spans="1:8" ht="15.75" x14ac:dyDescent="0.3">
      <c r="A21" s="76"/>
      <c r="B21" t="s">
        <v>8</v>
      </c>
      <c r="C21" s="62" t="s">
        <v>65</v>
      </c>
      <c r="D21" s="29" t="s">
        <v>2</v>
      </c>
      <c r="E21" s="21">
        <v>21.3</v>
      </c>
      <c r="F21" s="62" t="s">
        <v>169</v>
      </c>
      <c r="G21" s="30" t="s">
        <v>180</v>
      </c>
    </row>
    <row r="22" spans="1:8" ht="12.75" customHeight="1" x14ac:dyDescent="0.2">
      <c r="A22" s="76"/>
      <c r="B22" t="s">
        <v>66</v>
      </c>
      <c r="C22" s="62" t="s">
        <v>9</v>
      </c>
      <c r="D22" s="29" t="s">
        <v>43</v>
      </c>
      <c r="E22" s="15">
        <v>9.8000000000000007</v>
      </c>
      <c r="F22" s="62" t="s">
        <v>9</v>
      </c>
      <c r="G22" s="30" t="s">
        <v>180</v>
      </c>
    </row>
    <row r="23" spans="1:8" ht="14.25" x14ac:dyDescent="0.2">
      <c r="A23" s="76"/>
      <c r="B23" s="20" t="s">
        <v>247</v>
      </c>
      <c r="C23" s="81" t="s">
        <v>22</v>
      </c>
      <c r="D23" s="83" t="s">
        <v>17</v>
      </c>
      <c r="E23" s="84">
        <f>g*(hfinal-hinit)</f>
        <v>208.74</v>
      </c>
      <c r="F23" s="63" t="s">
        <v>185</v>
      </c>
      <c r="G23" s="30" t="s">
        <v>182</v>
      </c>
    </row>
    <row r="24" spans="1:8" x14ac:dyDescent="0.2">
      <c r="B24" s="15"/>
      <c r="C24" s="17"/>
      <c r="D24" s="16"/>
      <c r="E24" s="15"/>
      <c r="F24" s="63"/>
      <c r="G24" s="29"/>
    </row>
    <row r="25" spans="1:8" x14ac:dyDescent="0.2">
      <c r="A25" s="76" t="s">
        <v>240</v>
      </c>
      <c r="B25" s="75" t="s">
        <v>223</v>
      </c>
      <c r="D25" s="9"/>
    </row>
    <row r="26" spans="1:8" ht="15.75" customHeight="1" x14ac:dyDescent="0.3">
      <c r="A26" s="76"/>
      <c r="B26" s="30" t="s">
        <v>10</v>
      </c>
      <c r="C26" s="62" t="s">
        <v>67</v>
      </c>
      <c r="D26" s="29" t="s">
        <v>12</v>
      </c>
      <c r="E26" s="21">
        <v>101325</v>
      </c>
      <c r="F26" s="62" t="s">
        <v>170</v>
      </c>
      <c r="G26" s="30" t="s">
        <v>180</v>
      </c>
    </row>
    <row r="27" spans="1:8" ht="12.75" customHeight="1" x14ac:dyDescent="0.3">
      <c r="A27" s="76"/>
      <c r="B27" s="30" t="s">
        <v>11</v>
      </c>
      <c r="C27" s="62" t="s">
        <v>68</v>
      </c>
      <c r="D27" s="29" t="s">
        <v>12</v>
      </c>
      <c r="E27" s="21">
        <v>101325</v>
      </c>
      <c r="F27" s="62" t="s">
        <v>171</v>
      </c>
      <c r="G27" s="30" t="s">
        <v>180</v>
      </c>
    </row>
    <row r="28" spans="1:8" ht="14.25" x14ac:dyDescent="0.2">
      <c r="A28" s="76"/>
      <c r="B28" s="70" t="s">
        <v>246</v>
      </c>
      <c r="C28" s="82" t="s">
        <v>21</v>
      </c>
      <c r="D28" s="83" t="s">
        <v>17</v>
      </c>
      <c r="E28" s="84">
        <f>(pfinal-pinit)/rho</f>
        <v>0</v>
      </c>
      <c r="F28" s="63" t="s">
        <v>185</v>
      </c>
      <c r="G28" s="30" t="s">
        <v>182</v>
      </c>
    </row>
    <row r="29" spans="1:8" x14ac:dyDescent="0.2">
      <c r="B29" s="20"/>
      <c r="C29" s="18"/>
      <c r="D29" s="16"/>
      <c r="E29" s="15"/>
      <c r="F29" s="63"/>
      <c r="G29" s="30"/>
    </row>
    <row r="30" spans="1:8" x14ac:dyDescent="0.2">
      <c r="A30" s="76" t="s">
        <v>241</v>
      </c>
      <c r="B30" s="75" t="s">
        <v>224</v>
      </c>
      <c r="D30" s="9"/>
    </row>
    <row r="31" spans="1:8" ht="15.75" x14ac:dyDescent="0.3">
      <c r="A31" s="77"/>
      <c r="B31" s="30" t="s">
        <v>18</v>
      </c>
      <c r="C31" s="62" t="s">
        <v>198</v>
      </c>
      <c r="D31" s="29" t="s">
        <v>6</v>
      </c>
      <c r="E31" s="67">
        <f>v</f>
        <v>1.4551309082687576</v>
      </c>
      <c r="F31" s="62" t="s">
        <v>172</v>
      </c>
      <c r="G31" s="30" t="s">
        <v>221</v>
      </c>
    </row>
    <row r="32" spans="1:8" ht="15.75" x14ac:dyDescent="0.3">
      <c r="A32" s="77"/>
      <c r="B32" s="30" t="s">
        <v>19</v>
      </c>
      <c r="C32" s="62" t="s">
        <v>199</v>
      </c>
      <c r="D32" s="29" t="s">
        <v>6</v>
      </c>
      <c r="E32" s="67">
        <f>v</f>
        <v>1.4551309082687576</v>
      </c>
      <c r="F32" s="62" t="s">
        <v>173</v>
      </c>
      <c r="G32" s="30" t="s">
        <v>221</v>
      </c>
    </row>
    <row r="33" spans="1:11" ht="12.75" customHeight="1" x14ac:dyDescent="0.2">
      <c r="A33" s="77"/>
      <c r="B33" s="30" t="s">
        <v>20</v>
      </c>
      <c r="C33" s="78" t="s">
        <v>75</v>
      </c>
      <c r="D33" s="29" t="s">
        <v>4</v>
      </c>
      <c r="E33" s="2">
        <v>1</v>
      </c>
      <c r="F33" s="62" t="s">
        <v>174</v>
      </c>
      <c r="G33" s="30" t="s">
        <v>159</v>
      </c>
    </row>
    <row r="34" spans="1:11" ht="14.25" x14ac:dyDescent="0.2">
      <c r="A34" s="77"/>
      <c r="B34" s="70" t="s">
        <v>245</v>
      </c>
      <c r="C34" s="82" t="s">
        <v>200</v>
      </c>
      <c r="D34" s="83" t="s">
        <v>17</v>
      </c>
      <c r="E34" s="84">
        <f>(Vfinal^2)/(2*alpha)-(Vinit^2)/(2*alpha)</f>
        <v>0</v>
      </c>
      <c r="F34" s="63" t="s">
        <v>185</v>
      </c>
      <c r="G34" s="30" t="s">
        <v>182</v>
      </c>
      <c r="H34" s="12"/>
    </row>
    <row r="35" spans="1:11" x14ac:dyDescent="0.2">
      <c r="B35" s="3"/>
      <c r="C35" s="3"/>
      <c r="D35" s="9"/>
      <c r="K35">
        <v>5.7210000000000004E-3</v>
      </c>
    </row>
    <row r="36" spans="1:11" x14ac:dyDescent="0.2">
      <c r="A36" s="76" t="s">
        <v>242</v>
      </c>
      <c r="B36" s="4" t="s">
        <v>227</v>
      </c>
      <c r="K36">
        <v>1.4550000000000001</v>
      </c>
    </row>
    <row r="37" spans="1:11" x14ac:dyDescent="0.2">
      <c r="A37" s="77"/>
      <c r="B37" s="30" t="s">
        <v>225</v>
      </c>
      <c r="E37" s="86">
        <f>(1/E40^0.5)+4*LOG(eps/(3.7*D)+1.256/(Re*E40^0.5))</f>
        <v>-8.8598796388339451E-7</v>
      </c>
      <c r="F37" s="63" t="s">
        <v>185</v>
      </c>
      <c r="G37" s="30" t="s">
        <v>186</v>
      </c>
      <c r="K37">
        <v>305</v>
      </c>
    </row>
    <row r="38" spans="1:11" x14ac:dyDescent="0.2">
      <c r="A38" s="77"/>
      <c r="B38" s="30" t="s">
        <v>41</v>
      </c>
      <c r="C38" s="62" t="s">
        <v>72</v>
      </c>
      <c r="D38" s="29" t="s">
        <v>2</v>
      </c>
      <c r="E38" s="21">
        <v>305</v>
      </c>
      <c r="F38" s="62" t="s">
        <v>72</v>
      </c>
      <c r="G38" s="30" t="s">
        <v>180</v>
      </c>
      <c r="K38">
        <v>5.8</v>
      </c>
    </row>
    <row r="39" spans="1:11" x14ac:dyDescent="0.2">
      <c r="A39" s="77"/>
      <c r="B39" s="30" t="s">
        <v>47</v>
      </c>
      <c r="C39" s="78" t="s">
        <v>73</v>
      </c>
      <c r="D39" s="29" t="s">
        <v>2</v>
      </c>
      <c r="E39" s="21">
        <v>4.57E-5</v>
      </c>
      <c r="F39" s="62" t="s">
        <v>175</v>
      </c>
      <c r="G39" s="30" t="s">
        <v>184</v>
      </c>
      <c r="K39">
        <v>5.2499999999999998E-2</v>
      </c>
    </row>
    <row r="40" spans="1:11" x14ac:dyDescent="0.2">
      <c r="A40" s="77"/>
      <c r="B40" s="30" t="s">
        <v>48</v>
      </c>
      <c r="C40" s="62" t="s">
        <v>74</v>
      </c>
      <c r="D40" s="29" t="s">
        <v>4</v>
      </c>
      <c r="E40" s="88">
        <v>5.6758041853290919E-3</v>
      </c>
      <c r="F40" s="63" t="s">
        <v>185</v>
      </c>
      <c r="G40" s="87" t="s">
        <v>251</v>
      </c>
    </row>
    <row r="41" spans="1:11" x14ac:dyDescent="0.2">
      <c r="A41" s="77"/>
      <c r="B41" s="30" t="s">
        <v>49</v>
      </c>
      <c r="C41" s="62" t="s">
        <v>74</v>
      </c>
      <c r="D41" s="29" t="s">
        <v>4</v>
      </c>
      <c r="E41" s="88">
        <f>16/Re</f>
        <v>2.352780857252135E-4</v>
      </c>
      <c r="F41" s="63" t="s">
        <v>185</v>
      </c>
      <c r="G41" s="30" t="s">
        <v>187</v>
      </c>
      <c r="K41">
        <f>2*K35*(K36^2)*(K37+K38)/K39</f>
        <v>143.40016029600005</v>
      </c>
    </row>
    <row r="42" spans="1:11" x14ac:dyDescent="0.2">
      <c r="A42" s="77"/>
      <c r="B42" s="30" t="s">
        <v>44</v>
      </c>
      <c r="C42" s="62" t="s">
        <v>74</v>
      </c>
      <c r="D42" s="29" t="s">
        <v>4</v>
      </c>
      <c r="E42" s="11">
        <f>IF(Re&lt;2100,E41,E40)</f>
        <v>5.6758041853290919E-3</v>
      </c>
      <c r="F42" s="62" t="s">
        <v>74</v>
      </c>
      <c r="G42" s="30" t="s">
        <v>189</v>
      </c>
    </row>
    <row r="43" spans="1:11" ht="15.75" x14ac:dyDescent="0.3">
      <c r="A43" s="77"/>
      <c r="B43" s="30" t="s">
        <v>42</v>
      </c>
      <c r="C43" s="62" t="s">
        <v>79</v>
      </c>
      <c r="D43" s="29" t="s">
        <v>17</v>
      </c>
      <c r="E43" s="13">
        <f>2*f*v^2*L/D</f>
        <v>139.63750062233404</v>
      </c>
      <c r="F43" s="63" t="s">
        <v>185</v>
      </c>
      <c r="G43" s="30" t="s">
        <v>188</v>
      </c>
    </row>
    <row r="44" spans="1:11" ht="15.75" customHeight="1" x14ac:dyDescent="0.3">
      <c r="A44" s="77"/>
      <c r="B44" s="30" t="s">
        <v>90</v>
      </c>
      <c r="C44" s="62" t="s">
        <v>80</v>
      </c>
      <c r="D44" s="29" t="s">
        <v>17</v>
      </c>
      <c r="E44" s="13">
        <f>2*f*v^2*(L+Le)/D</f>
        <v>142.28145657674054</v>
      </c>
      <c r="F44" s="63" t="s">
        <v>185</v>
      </c>
      <c r="G44" s="30" t="s">
        <v>190</v>
      </c>
      <c r="K44">
        <f>2*0.0057*(1.455^2)*(305+5.8)/0.0525</f>
        <v>142.87378320000005</v>
      </c>
    </row>
    <row r="45" spans="1:11" ht="15.75" customHeight="1" x14ac:dyDescent="0.3">
      <c r="A45" s="77"/>
      <c r="B45" s="68" t="s">
        <v>244</v>
      </c>
      <c r="C45" s="62" t="s">
        <v>91</v>
      </c>
      <c r="D45" s="29" t="s">
        <v>17</v>
      </c>
      <c r="E45" s="85">
        <f>E44+E85</f>
        <v>143.86697121844057</v>
      </c>
      <c r="F45" s="63" t="s">
        <v>185</v>
      </c>
      <c r="G45" s="30" t="s">
        <v>214</v>
      </c>
    </row>
    <row r="46" spans="1:11" ht="15.75" customHeight="1" x14ac:dyDescent="0.2">
      <c r="B46" s="27"/>
      <c r="C46" s="19"/>
      <c r="D46" s="9"/>
      <c r="E46" s="13"/>
      <c r="F46" s="63"/>
      <c r="G46" s="30"/>
    </row>
    <row r="47" spans="1:11" x14ac:dyDescent="0.2">
      <c r="B47" s="4" t="s">
        <v>226</v>
      </c>
      <c r="C47" s="7"/>
      <c r="D47" s="9"/>
    </row>
    <row r="48" spans="1:11" ht="15.75" x14ac:dyDescent="0.3">
      <c r="B48" s="30" t="s">
        <v>248</v>
      </c>
      <c r="C48" s="62" t="s">
        <v>78</v>
      </c>
      <c r="D48" s="29" t="s">
        <v>17</v>
      </c>
      <c r="E48" s="10">
        <f>E45+E34+E28+E23</f>
        <v>352.60697121844055</v>
      </c>
      <c r="F48" s="63" t="s">
        <v>185</v>
      </c>
      <c r="G48" s="30" t="s">
        <v>250</v>
      </c>
    </row>
    <row r="49" spans="2:7" ht="15.75" x14ac:dyDescent="0.3">
      <c r="B49" s="7" t="s">
        <v>249</v>
      </c>
      <c r="C49" s="62" t="s">
        <v>78</v>
      </c>
      <c r="D49" s="29" t="s">
        <v>51</v>
      </c>
      <c r="E49" s="10">
        <f>E48*mv*rho</f>
        <v>1107.3798234600733</v>
      </c>
      <c r="F49" s="63" t="s">
        <v>185</v>
      </c>
      <c r="G49" s="30" t="s">
        <v>107</v>
      </c>
    </row>
    <row r="50" spans="2:7" x14ac:dyDescent="0.2">
      <c r="B50" s="7" t="s">
        <v>77</v>
      </c>
      <c r="C50" s="78" t="s">
        <v>45</v>
      </c>
      <c r="D50" s="29" t="s">
        <v>4</v>
      </c>
      <c r="E50" s="21">
        <v>0.4</v>
      </c>
      <c r="F50" s="62" t="s">
        <v>176</v>
      </c>
      <c r="G50" s="30" t="s">
        <v>180</v>
      </c>
    </row>
    <row r="51" spans="2:7" ht="14.25" x14ac:dyDescent="0.2">
      <c r="B51" s="7" t="s">
        <v>52</v>
      </c>
      <c r="C51" s="62" t="s">
        <v>76</v>
      </c>
      <c r="D51" s="29" t="s">
        <v>17</v>
      </c>
      <c r="E51" s="10">
        <f>E48/eta</f>
        <v>881.51742804610137</v>
      </c>
      <c r="F51" s="63" t="s">
        <v>185</v>
      </c>
      <c r="G51" s="30" t="s">
        <v>108</v>
      </c>
    </row>
    <row r="52" spans="2:7" x14ac:dyDescent="0.2">
      <c r="B52" s="7" t="s">
        <v>52</v>
      </c>
      <c r="C52" s="62" t="s">
        <v>76</v>
      </c>
      <c r="D52" s="29" t="s">
        <v>51</v>
      </c>
      <c r="E52" s="10">
        <f>E49/eta</f>
        <v>2768.449558650183</v>
      </c>
      <c r="F52" s="63" t="s">
        <v>185</v>
      </c>
      <c r="G52" s="30" t="s">
        <v>109</v>
      </c>
    </row>
    <row r="53" spans="2:7" x14ac:dyDescent="0.2">
      <c r="B53" s="7"/>
      <c r="C53" s="19"/>
      <c r="D53" s="9"/>
      <c r="E53" s="10"/>
      <c r="F53" s="63"/>
      <c r="G53" s="30"/>
    </row>
    <row r="54" spans="2:7" x14ac:dyDescent="0.2">
      <c r="B54" s="75" t="s">
        <v>213</v>
      </c>
    </row>
    <row r="55" spans="2:7" x14ac:dyDescent="0.2">
      <c r="B55" s="69" t="s">
        <v>229</v>
      </c>
      <c r="C55" s="62" t="s">
        <v>40</v>
      </c>
      <c r="E55" s="71" t="s">
        <v>228</v>
      </c>
      <c r="F55" s="1"/>
    </row>
    <row r="56" spans="2:7" x14ac:dyDescent="0.2">
      <c r="B56" s="30" t="s">
        <v>23</v>
      </c>
      <c r="C56" s="5">
        <v>15</v>
      </c>
      <c r="D56" s="29" t="s">
        <v>4</v>
      </c>
      <c r="E56" s="21"/>
      <c r="F56" s="63" t="s">
        <v>185</v>
      </c>
      <c r="G56" s="30" t="s">
        <v>230</v>
      </c>
    </row>
    <row r="57" spans="2:7" x14ac:dyDescent="0.2">
      <c r="B57" s="30" t="s">
        <v>25</v>
      </c>
      <c r="C57" s="5">
        <v>32</v>
      </c>
      <c r="D57" s="29" t="s">
        <v>4</v>
      </c>
      <c r="E57" s="21">
        <v>3</v>
      </c>
      <c r="F57" s="63" t="s">
        <v>185</v>
      </c>
      <c r="G57" s="30" t="s">
        <v>180</v>
      </c>
    </row>
    <row r="58" spans="2:7" x14ac:dyDescent="0.2">
      <c r="B58" s="30" t="s">
        <v>24</v>
      </c>
      <c r="C58" s="5">
        <v>26</v>
      </c>
      <c r="D58" s="29" t="s">
        <v>4</v>
      </c>
      <c r="E58" s="21"/>
      <c r="F58" s="63" t="s">
        <v>185</v>
      </c>
      <c r="G58" s="30" t="s">
        <v>180</v>
      </c>
    </row>
    <row r="59" spans="2:7" x14ac:dyDescent="0.2">
      <c r="B59" s="30" t="s">
        <v>26</v>
      </c>
      <c r="C59" s="5">
        <v>20</v>
      </c>
      <c r="D59" s="29" t="s">
        <v>4</v>
      </c>
      <c r="E59" s="21"/>
      <c r="F59" s="63" t="s">
        <v>185</v>
      </c>
      <c r="G59" s="30" t="s">
        <v>180</v>
      </c>
    </row>
    <row r="60" spans="2:7" x14ac:dyDescent="0.2">
      <c r="B60" s="30" t="s">
        <v>27</v>
      </c>
      <c r="C60" s="5">
        <v>60</v>
      </c>
      <c r="D60" s="29" t="s">
        <v>4</v>
      </c>
      <c r="E60" s="21"/>
      <c r="F60" s="63" t="s">
        <v>185</v>
      </c>
      <c r="G60" s="30" t="s">
        <v>180</v>
      </c>
    </row>
    <row r="61" spans="2:7" x14ac:dyDescent="0.2">
      <c r="B61" s="30" t="s">
        <v>28</v>
      </c>
      <c r="C61" s="5">
        <v>75</v>
      </c>
      <c r="D61" s="29" t="s">
        <v>4</v>
      </c>
      <c r="E61" s="21"/>
      <c r="F61" s="63" t="s">
        <v>185</v>
      </c>
      <c r="G61" s="30" t="s">
        <v>180</v>
      </c>
    </row>
    <row r="62" spans="2:7" x14ac:dyDescent="0.2">
      <c r="B62" s="30" t="s">
        <v>29</v>
      </c>
      <c r="C62" s="5">
        <v>50</v>
      </c>
      <c r="D62" s="29" t="s">
        <v>4</v>
      </c>
      <c r="E62" s="21"/>
      <c r="F62" s="63" t="s">
        <v>185</v>
      </c>
      <c r="G62" s="30" t="s">
        <v>180</v>
      </c>
    </row>
    <row r="63" spans="2:7" x14ac:dyDescent="0.2">
      <c r="B63" s="30" t="s">
        <v>31</v>
      </c>
      <c r="C63" s="5">
        <v>60</v>
      </c>
      <c r="D63" s="29" t="s">
        <v>4</v>
      </c>
      <c r="E63" s="21"/>
      <c r="F63" s="63" t="s">
        <v>185</v>
      </c>
      <c r="G63" s="30" t="s">
        <v>180</v>
      </c>
    </row>
    <row r="64" spans="2:7" x14ac:dyDescent="0.2">
      <c r="B64" s="30" t="s">
        <v>30</v>
      </c>
      <c r="C64" s="5">
        <v>90</v>
      </c>
      <c r="D64" s="29" t="s">
        <v>4</v>
      </c>
      <c r="E64" s="21"/>
      <c r="F64" s="63" t="s">
        <v>185</v>
      </c>
      <c r="G64" s="30" t="s">
        <v>180</v>
      </c>
    </row>
    <row r="65" spans="2:7" x14ac:dyDescent="0.2">
      <c r="B65" s="30" t="s">
        <v>32</v>
      </c>
      <c r="C65" s="5">
        <v>0</v>
      </c>
      <c r="D65" s="29" t="s">
        <v>4</v>
      </c>
      <c r="E65" s="21"/>
      <c r="F65" s="63" t="s">
        <v>185</v>
      </c>
      <c r="G65" s="30" t="s">
        <v>180</v>
      </c>
    </row>
    <row r="66" spans="2:7" x14ac:dyDescent="0.2">
      <c r="B66" s="30" t="s">
        <v>33</v>
      </c>
      <c r="C66" s="5">
        <v>0</v>
      </c>
      <c r="D66" s="29" t="s">
        <v>4</v>
      </c>
      <c r="E66" s="21"/>
      <c r="F66" s="63" t="s">
        <v>185</v>
      </c>
      <c r="G66" s="30" t="s">
        <v>180</v>
      </c>
    </row>
    <row r="67" spans="2:7" x14ac:dyDescent="0.2">
      <c r="B67" s="30" t="s">
        <v>34</v>
      </c>
      <c r="C67" s="5">
        <v>7</v>
      </c>
      <c r="D67" s="29" t="s">
        <v>4</v>
      </c>
      <c r="E67" s="21">
        <v>2</v>
      </c>
      <c r="F67" s="63" t="s">
        <v>185</v>
      </c>
      <c r="G67" s="30" t="s">
        <v>180</v>
      </c>
    </row>
    <row r="68" spans="2:7" x14ac:dyDescent="0.2">
      <c r="B68" s="30" t="s">
        <v>35</v>
      </c>
      <c r="C68" s="5">
        <v>300</v>
      </c>
      <c r="D68" s="29" t="s">
        <v>4</v>
      </c>
      <c r="E68" s="21"/>
      <c r="F68" s="63" t="s">
        <v>185</v>
      </c>
      <c r="G68" s="30" t="s">
        <v>180</v>
      </c>
    </row>
    <row r="69" spans="2:7" x14ac:dyDescent="0.2">
      <c r="B69" s="30" t="s">
        <v>36</v>
      </c>
      <c r="C69" s="5">
        <v>170</v>
      </c>
      <c r="D69" s="29" t="s">
        <v>4</v>
      </c>
      <c r="E69" s="21"/>
      <c r="F69" s="63" t="s">
        <v>185</v>
      </c>
      <c r="G69" s="30" t="s">
        <v>180</v>
      </c>
    </row>
    <row r="70" spans="2:7" x14ac:dyDescent="0.2">
      <c r="B70" s="30" t="s">
        <v>37</v>
      </c>
      <c r="C70" s="5">
        <v>400</v>
      </c>
      <c r="D70" s="29" t="s">
        <v>4</v>
      </c>
      <c r="E70" s="21"/>
      <c r="F70" s="63" t="s">
        <v>185</v>
      </c>
      <c r="G70" s="30" t="s">
        <v>180</v>
      </c>
    </row>
    <row r="71" spans="2:7" x14ac:dyDescent="0.2">
      <c r="B71" s="30" t="s">
        <v>38</v>
      </c>
      <c r="C71" s="5">
        <v>600</v>
      </c>
      <c r="D71" s="29" t="s">
        <v>4</v>
      </c>
      <c r="E71" s="21"/>
      <c r="F71" s="63" t="s">
        <v>185</v>
      </c>
      <c r="G71" s="30" t="s">
        <v>180</v>
      </c>
    </row>
    <row r="72" spans="2:7" x14ac:dyDescent="0.2">
      <c r="B72" s="30" t="s">
        <v>39</v>
      </c>
      <c r="C72" s="5">
        <v>300</v>
      </c>
      <c r="D72" s="29" t="s">
        <v>4</v>
      </c>
      <c r="E72" s="21"/>
      <c r="F72" s="63" t="s">
        <v>185</v>
      </c>
      <c r="G72" s="30" t="s">
        <v>180</v>
      </c>
    </row>
    <row r="73" spans="2:7" x14ac:dyDescent="0.2">
      <c r="B73" s="30" t="s">
        <v>191</v>
      </c>
      <c r="C73" s="62" t="s">
        <v>177</v>
      </c>
      <c r="D73" s="29" t="s">
        <v>2</v>
      </c>
      <c r="E73" s="72">
        <f>(E56*C56+E57*C57+E58*C58+E59*C59+E60*C60+E61*C61+E62*C62+E63*C63+E64*C64+E65*C65+E66*C66+E67*C67+E68*C68+E69*C69+E70*C70+E71*C71+E72*C72)*D</f>
        <v>5.7749999999999995</v>
      </c>
      <c r="F73" s="62" t="s">
        <v>177</v>
      </c>
      <c r="G73" s="30" t="s">
        <v>211</v>
      </c>
    </row>
    <row r="75" spans="2:7" x14ac:dyDescent="0.2">
      <c r="B75" s="75" t="s">
        <v>212</v>
      </c>
    </row>
    <row r="76" spans="2:7" ht="15.75" x14ac:dyDescent="0.3">
      <c r="B76" s="30" t="s">
        <v>205</v>
      </c>
      <c r="C76" s="62" t="s">
        <v>92</v>
      </c>
      <c r="D76" s="29" t="s">
        <v>16</v>
      </c>
      <c r="E76" s="26">
        <f>E9</f>
        <v>2.1647536878642167E-3</v>
      </c>
      <c r="F76" s="63" t="s">
        <v>185</v>
      </c>
      <c r="G76" s="30" t="s">
        <v>231</v>
      </c>
    </row>
    <row r="77" spans="2:7" ht="15.75" x14ac:dyDescent="0.3">
      <c r="B77" s="30" t="s">
        <v>206</v>
      </c>
      <c r="C77" s="62" t="s">
        <v>93</v>
      </c>
      <c r="D77" s="29" t="s">
        <v>16</v>
      </c>
      <c r="E77" s="26">
        <f>1000*E76</f>
        <v>2.1647536878642168</v>
      </c>
      <c r="F77" s="63" t="s">
        <v>185</v>
      </c>
      <c r="G77" s="30" t="s">
        <v>210</v>
      </c>
    </row>
    <row r="78" spans="2:7" ht="15.75" x14ac:dyDescent="0.3">
      <c r="B78" s="30" t="s">
        <v>207</v>
      </c>
      <c r="C78" s="30" t="s">
        <v>87</v>
      </c>
      <c r="E78">
        <f>E76/E77</f>
        <v>1E-3</v>
      </c>
      <c r="F78" s="63" t="s">
        <v>185</v>
      </c>
      <c r="G78" s="30" t="s">
        <v>202</v>
      </c>
    </row>
    <row r="79" spans="2:7" ht="15.75" x14ac:dyDescent="0.3">
      <c r="B79" s="30" t="s">
        <v>203</v>
      </c>
      <c r="C79" s="62" t="s">
        <v>197</v>
      </c>
      <c r="D79" s="30" t="s">
        <v>6</v>
      </c>
      <c r="E79" s="11">
        <f>mv/E76</f>
        <v>1.4551309082687576</v>
      </c>
      <c r="F79" s="63" t="s">
        <v>185</v>
      </c>
      <c r="G79" s="30" t="s">
        <v>208</v>
      </c>
    </row>
    <row r="80" spans="2:7" ht="15.75" x14ac:dyDescent="0.3">
      <c r="B80" s="30" t="s">
        <v>204</v>
      </c>
      <c r="C80" s="62" t="s">
        <v>201</v>
      </c>
      <c r="D80" s="30" t="s">
        <v>6</v>
      </c>
      <c r="E80" s="11">
        <f>mv/E77</f>
        <v>1.4551309082687573E-3</v>
      </c>
      <c r="F80" s="63" t="s">
        <v>185</v>
      </c>
      <c r="G80" s="30" t="s">
        <v>209</v>
      </c>
    </row>
    <row r="81" spans="2:10" ht="15.75" x14ac:dyDescent="0.3">
      <c r="B81" s="30" t="s">
        <v>89</v>
      </c>
      <c r="C81" s="62" t="s">
        <v>86</v>
      </c>
      <c r="D81" s="29" t="s">
        <v>17</v>
      </c>
      <c r="E81" s="11">
        <f>(E79-E80)^2/(2*alpha)</f>
        <v>1.0565866328423108</v>
      </c>
      <c r="F81" s="63" t="s">
        <v>185</v>
      </c>
      <c r="G81" s="30" t="s">
        <v>194</v>
      </c>
    </row>
    <row r="82" spans="2:10" ht="15.75" x14ac:dyDescent="0.3">
      <c r="B82" s="30" t="s">
        <v>96</v>
      </c>
      <c r="C82" s="62" t="s">
        <v>85</v>
      </c>
      <c r="D82" s="29" t="s">
        <v>17</v>
      </c>
      <c r="E82" s="11">
        <f>IF(E78&lt;0.715,0.4*(1.25-E78)*E79^2/(2*alpha),0.75*(1-E78)*E79^2/(2*alpha))</f>
        <v>0.52892800885772517</v>
      </c>
      <c r="F82" s="63" t="s">
        <v>185</v>
      </c>
      <c r="G82" s="30" t="s">
        <v>193</v>
      </c>
    </row>
    <row r="83" spans="2:10" x14ac:dyDescent="0.2">
      <c r="B83" s="30" t="s">
        <v>88</v>
      </c>
      <c r="C83" s="62" t="s">
        <v>158</v>
      </c>
      <c r="D83" s="29" t="s">
        <v>4</v>
      </c>
      <c r="E83" s="25">
        <v>1</v>
      </c>
      <c r="F83" s="63" t="s">
        <v>185</v>
      </c>
      <c r="G83" s="30" t="s">
        <v>196</v>
      </c>
    </row>
    <row r="84" spans="2:10" x14ac:dyDescent="0.2">
      <c r="B84" s="30" t="s">
        <v>192</v>
      </c>
      <c r="C84" s="62" t="s">
        <v>158</v>
      </c>
      <c r="D84" s="29" t="s">
        <v>4</v>
      </c>
      <c r="E84" s="25">
        <v>1</v>
      </c>
      <c r="F84" s="63" t="s">
        <v>185</v>
      </c>
      <c r="G84" s="30" t="s">
        <v>195</v>
      </c>
    </row>
    <row r="85" spans="2:10" ht="15.75" x14ac:dyDescent="0.3">
      <c r="B85" s="30" t="s">
        <v>97</v>
      </c>
      <c r="C85" s="62" t="s">
        <v>94</v>
      </c>
      <c r="D85" s="29" t="s">
        <v>17</v>
      </c>
      <c r="E85" s="11">
        <f>E83*E81+E84*E82</f>
        <v>1.5855146417000361</v>
      </c>
      <c r="F85" s="63" t="s">
        <v>185</v>
      </c>
      <c r="G85" s="30" t="s">
        <v>182</v>
      </c>
    </row>
    <row r="87" spans="2:10" x14ac:dyDescent="0.2">
      <c r="B87" s="75" t="s">
        <v>105</v>
      </c>
    </row>
    <row r="88" spans="2:10" ht="15.75" x14ac:dyDescent="0.3">
      <c r="B88" s="30" t="s">
        <v>99</v>
      </c>
      <c r="C88" s="62" t="s">
        <v>101</v>
      </c>
      <c r="D88" s="30" t="s">
        <v>95</v>
      </c>
      <c r="E88" s="25">
        <v>62000</v>
      </c>
      <c r="F88" s="63" t="s">
        <v>185</v>
      </c>
      <c r="G88" s="30" t="s">
        <v>233</v>
      </c>
      <c r="J88" s="55"/>
    </row>
    <row r="89" spans="2:10" ht="15.75" x14ac:dyDescent="0.3">
      <c r="B89" s="30" t="s">
        <v>134</v>
      </c>
      <c r="C89" s="62" t="s">
        <v>133</v>
      </c>
      <c r="D89" s="29" t="s">
        <v>2</v>
      </c>
      <c r="E89" s="56">
        <f>(E48*rho/1000)*(D/2)/(E88*1-0.6*(E48*rho/1000))</f>
        <v>1.4934947425749719E-4</v>
      </c>
      <c r="F89" s="63" t="s">
        <v>185</v>
      </c>
      <c r="G89" s="73" t="s">
        <v>232</v>
      </c>
      <c r="J89" s="55"/>
    </row>
    <row r="90" spans="2:10" ht="15.75" x14ac:dyDescent="0.3">
      <c r="B90" s="30" t="s">
        <v>110</v>
      </c>
      <c r="C90" s="62" t="s">
        <v>102</v>
      </c>
      <c r="D90" s="29" t="s">
        <v>2</v>
      </c>
      <c r="E90" s="74">
        <f>E8</f>
        <v>5.2499999999999998E-2</v>
      </c>
      <c r="F90" s="63" t="s">
        <v>185</v>
      </c>
      <c r="G90" s="30" t="s">
        <v>235</v>
      </c>
    </row>
    <row r="91" spans="2:10" ht="15.75" x14ac:dyDescent="0.3">
      <c r="B91" s="30" t="s">
        <v>98</v>
      </c>
      <c r="C91" s="62" t="s">
        <v>100</v>
      </c>
      <c r="D91" s="30" t="s">
        <v>95</v>
      </c>
      <c r="E91" s="10">
        <f>2*E88*E89/E90</f>
        <v>352.74923443675533</v>
      </c>
      <c r="F91" s="63" t="s">
        <v>185</v>
      </c>
      <c r="G91" s="30" t="s">
        <v>234</v>
      </c>
    </row>
    <row r="92" spans="2:10" x14ac:dyDescent="0.2">
      <c r="B92" s="30" t="s">
        <v>103</v>
      </c>
      <c r="C92" s="62" t="s">
        <v>104</v>
      </c>
      <c r="D92" s="29" t="s">
        <v>4</v>
      </c>
      <c r="E92" s="31">
        <v>40</v>
      </c>
      <c r="F92" s="63" t="s">
        <v>185</v>
      </c>
      <c r="G92" s="30" t="s">
        <v>180</v>
      </c>
    </row>
    <row r="93" spans="2:10" ht="15.75" x14ac:dyDescent="0.3">
      <c r="B93" s="30" t="s">
        <v>106</v>
      </c>
      <c r="C93" s="62" t="s">
        <v>243</v>
      </c>
      <c r="D93" s="30" t="s">
        <v>95</v>
      </c>
      <c r="E93">
        <f>E92*E88/1000</f>
        <v>2480</v>
      </c>
      <c r="F93" s="63" t="s">
        <v>185</v>
      </c>
      <c r="G93" s="30" t="s">
        <v>236</v>
      </c>
    </row>
  </sheetData>
  <sheetProtection selectLockedCells="1"/>
  <mergeCells count="4">
    <mergeCell ref="A19:A23"/>
    <mergeCell ref="A25:A28"/>
    <mergeCell ref="A30:A34"/>
    <mergeCell ref="A36:A45"/>
  </mergeCells>
  <phoneticPr fontId="1" type="noConversion"/>
  <pageMargins left="0.75" right="0.75" top="1" bottom="1" header="0.5" footer="0.5"/>
  <pageSetup scale="70" orientation="landscape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40"/>
  <sheetViews>
    <sheetView tabSelected="1" topLeftCell="D1" zoomScale="120" zoomScaleNormal="120" workbookViewId="0">
      <selection activeCell="N1" sqref="N1"/>
    </sheetView>
  </sheetViews>
  <sheetFormatPr defaultRowHeight="12.75" x14ac:dyDescent="0.2"/>
  <cols>
    <col min="1" max="1" width="16.7109375" bestFit="1" customWidth="1"/>
    <col min="11" max="11" width="9.140625" customWidth="1"/>
  </cols>
  <sheetData>
    <row r="1" spans="2:14" x14ac:dyDescent="0.2">
      <c r="D1" s="4" t="s">
        <v>111</v>
      </c>
      <c r="I1" s="4" t="s">
        <v>112</v>
      </c>
      <c r="N1" s="7" t="s">
        <v>135</v>
      </c>
    </row>
    <row r="2" spans="2:14" x14ac:dyDescent="0.2">
      <c r="E2" s="32" t="s">
        <v>121</v>
      </c>
      <c r="F2">
        <f>D</f>
        <v>5.2499999999999998E-2</v>
      </c>
      <c r="J2" s="32" t="s">
        <v>121</v>
      </c>
      <c r="K2">
        <f>D</f>
        <v>5.2499999999999998E-2</v>
      </c>
    </row>
    <row r="3" spans="2:14" x14ac:dyDescent="0.2">
      <c r="E3" s="32" t="s">
        <v>120</v>
      </c>
      <c r="F3" s="24">
        <f>INDEX($E$13:$E$28,MATCH(F2,$D$13:$D$28))+(F2-INDEX($D$13:$D$28,MATCH(F2,$D$13:$D$28)))*(INDEX($E$13:$E$28,MATCH(F2,$D$13:$D$28)+1)-INDEX($E$13:$E$28,MATCH(F2,$D$13:$D$28)))/(INDEX($D$13:$D$28,MATCH(F2,$D$13:$D$28)+1)-INDEX($D$13:$D$28,MATCH(F2,$D$13:$D$28)))</f>
        <v>7.4999999999999991</v>
      </c>
      <c r="J3" s="32" t="s">
        <v>120</v>
      </c>
      <c r="K3" s="24">
        <f>INDEX($J$13:$J$28,MATCH(K2,$I$13:$I$28))+(K2-INDEX($I$13:$I$28,MATCH(K2,$I$13:$I$28)))*(INDEX($J$13:$J$28,MATCH(K2,$I$13:$I$28)+1)-INDEX($J$13:$J$28,MATCH(K2,$I$13:$I$28)))/(INDEX($I$13:$I$28,MATCH(K2,$I$13:$I$28)+1)-INDEX($I$13:$I$28,MATCH(K2,$I$13:$I$28)))</f>
        <v>12.625</v>
      </c>
    </row>
    <row r="4" spans="2:14" x14ac:dyDescent="0.2">
      <c r="B4" s="24"/>
      <c r="E4" s="32" t="s">
        <v>129</v>
      </c>
      <c r="F4">
        <f>L</f>
        <v>305</v>
      </c>
      <c r="J4" s="32" t="s">
        <v>129</v>
      </c>
      <c r="K4">
        <f>L</f>
        <v>305</v>
      </c>
    </row>
    <row r="5" spans="2:14" x14ac:dyDescent="0.2">
      <c r="B5" s="24"/>
      <c r="E5" s="32" t="s">
        <v>151</v>
      </c>
      <c r="F5" s="35">
        <f>F4*F3</f>
        <v>2287.4999999999995</v>
      </c>
      <c r="J5" s="32" t="s">
        <v>151</v>
      </c>
      <c r="K5" s="35">
        <f>K4*K3</f>
        <v>3850.625</v>
      </c>
    </row>
    <row r="6" spans="2:14" x14ac:dyDescent="0.2">
      <c r="D6" s="59"/>
      <c r="E6" s="60" t="s">
        <v>154</v>
      </c>
      <c r="F6" s="61">
        <f>F5*F117/F116</f>
        <v>6156.2477509895634</v>
      </c>
      <c r="I6" s="59"/>
      <c r="J6" s="60" t="s">
        <v>154</v>
      </c>
      <c r="K6" s="61">
        <f>K5*F117/F116</f>
        <v>10363.017047499101</v>
      </c>
    </row>
    <row r="10" spans="2:14" x14ac:dyDescent="0.2">
      <c r="D10" s="4" t="s">
        <v>128</v>
      </c>
      <c r="I10" s="4" t="s">
        <v>128</v>
      </c>
    </row>
    <row r="11" spans="2:14" x14ac:dyDescent="0.2">
      <c r="D11" s="1" t="s">
        <v>82</v>
      </c>
      <c r="E11" s="1" t="s">
        <v>83</v>
      </c>
      <c r="I11" s="1" t="s">
        <v>82</v>
      </c>
      <c r="J11" s="1" t="s">
        <v>83</v>
      </c>
    </row>
    <row r="12" spans="2:14" x14ac:dyDescent="0.2">
      <c r="D12" s="1" t="s">
        <v>2</v>
      </c>
      <c r="E12" s="1" t="s">
        <v>84</v>
      </c>
      <c r="I12" s="1" t="s">
        <v>2</v>
      </c>
      <c r="J12" s="1" t="s">
        <v>84</v>
      </c>
    </row>
    <row r="13" spans="2:14" x14ac:dyDescent="0.2">
      <c r="D13" s="23">
        <v>0.02</v>
      </c>
      <c r="E13" s="13">
        <v>2.7</v>
      </c>
      <c r="I13" s="23">
        <v>0.02</v>
      </c>
      <c r="J13" s="13">
        <v>6.5</v>
      </c>
    </row>
    <row r="14" spans="2:14" x14ac:dyDescent="0.2">
      <c r="D14" s="23">
        <v>0.03</v>
      </c>
      <c r="E14" s="13">
        <v>3.6</v>
      </c>
      <c r="I14" s="23">
        <v>0.03</v>
      </c>
      <c r="J14" s="13">
        <v>7.4</v>
      </c>
    </row>
    <row r="15" spans="2:14" x14ac:dyDescent="0.2">
      <c r="D15" s="23">
        <v>0.04</v>
      </c>
      <c r="E15" s="13">
        <v>5</v>
      </c>
      <c r="I15" s="23">
        <v>0.04</v>
      </c>
      <c r="J15" s="13">
        <v>9.4</v>
      </c>
    </row>
    <row r="16" spans="2:14" x14ac:dyDescent="0.2">
      <c r="D16" s="23">
        <v>0.05</v>
      </c>
      <c r="E16" s="13">
        <v>7</v>
      </c>
      <c r="I16" s="23">
        <v>0.05</v>
      </c>
      <c r="J16" s="13">
        <v>12</v>
      </c>
    </row>
    <row r="17" spans="4:12" x14ac:dyDescent="0.2">
      <c r="D17" s="23">
        <v>0.06</v>
      </c>
      <c r="E17" s="13">
        <v>9</v>
      </c>
      <c r="I17" s="23">
        <v>0.06</v>
      </c>
      <c r="J17" s="13">
        <v>14.5</v>
      </c>
    </row>
    <row r="18" spans="4:12" x14ac:dyDescent="0.2">
      <c r="D18" s="23">
        <v>7.0000000000000007E-2</v>
      </c>
      <c r="E18" s="10">
        <v>11</v>
      </c>
      <c r="I18" s="23">
        <v>7.0000000000000007E-2</v>
      </c>
      <c r="J18">
        <v>18</v>
      </c>
    </row>
    <row r="19" spans="4:12" x14ac:dyDescent="0.2">
      <c r="D19" s="23">
        <v>0.08</v>
      </c>
      <c r="E19" s="10">
        <v>13</v>
      </c>
      <c r="I19" s="23">
        <v>0.08</v>
      </c>
      <c r="J19">
        <v>22</v>
      </c>
    </row>
    <row r="20" spans="4:12" x14ac:dyDescent="0.2">
      <c r="D20" s="23">
        <v>0.09</v>
      </c>
      <c r="E20" s="10">
        <v>15</v>
      </c>
      <c r="I20" s="23">
        <v>0.09</v>
      </c>
      <c r="J20">
        <v>27</v>
      </c>
    </row>
    <row r="21" spans="4:12" x14ac:dyDescent="0.2">
      <c r="D21" s="23">
        <v>0.1</v>
      </c>
      <c r="E21" s="10">
        <v>18</v>
      </c>
      <c r="I21" s="23">
        <v>0.1</v>
      </c>
      <c r="J21">
        <v>32</v>
      </c>
    </row>
    <row r="22" spans="4:12" x14ac:dyDescent="0.2">
      <c r="D22" s="23">
        <v>0.14000000000000001</v>
      </c>
      <c r="E22" s="10">
        <v>30</v>
      </c>
      <c r="I22" s="23">
        <v>0.14000000000000001</v>
      </c>
      <c r="J22">
        <v>55</v>
      </c>
    </row>
    <row r="23" spans="4:12" x14ac:dyDescent="0.2">
      <c r="D23" s="23">
        <v>0.2</v>
      </c>
      <c r="E23" s="10">
        <v>49</v>
      </c>
      <c r="I23" s="23">
        <v>0.2</v>
      </c>
      <c r="J23">
        <v>101</v>
      </c>
    </row>
    <row r="24" spans="4:12" x14ac:dyDescent="0.2">
      <c r="D24" s="23">
        <v>0.3</v>
      </c>
      <c r="E24" s="10">
        <v>81</v>
      </c>
      <c r="I24" s="23">
        <v>0.3</v>
      </c>
      <c r="J24">
        <v>185</v>
      </c>
    </row>
    <row r="25" spans="4:12" x14ac:dyDescent="0.2">
      <c r="D25" s="23">
        <v>0.4</v>
      </c>
      <c r="E25" s="10">
        <v>109</v>
      </c>
      <c r="I25" s="23">
        <v>0.4</v>
      </c>
      <c r="J25">
        <v>260</v>
      </c>
    </row>
    <row r="26" spans="4:12" x14ac:dyDescent="0.2">
      <c r="D26" s="23">
        <v>0.5</v>
      </c>
      <c r="E26" s="10">
        <v>127</v>
      </c>
      <c r="I26" s="23">
        <v>0.5</v>
      </c>
      <c r="J26">
        <v>315</v>
      </c>
    </row>
    <row r="27" spans="4:12" x14ac:dyDescent="0.2">
      <c r="D27" s="23">
        <v>0.50800000000000001</v>
      </c>
      <c r="E27" s="10">
        <v>129</v>
      </c>
      <c r="I27" s="23">
        <v>0.50800000000000001</v>
      </c>
      <c r="J27">
        <v>320</v>
      </c>
    </row>
    <row r="28" spans="4:12" x14ac:dyDescent="0.2">
      <c r="D28" s="23">
        <v>0.6</v>
      </c>
      <c r="E28" s="10">
        <v>140</v>
      </c>
      <c r="I28" s="23">
        <v>0.6</v>
      </c>
      <c r="J28">
        <v>370</v>
      </c>
    </row>
    <row r="31" spans="4:12" x14ac:dyDescent="0.2">
      <c r="D31" s="41" t="s">
        <v>113</v>
      </c>
      <c r="E31" s="42"/>
      <c r="F31" s="42"/>
      <c r="G31" s="42"/>
      <c r="I31" s="36" t="s">
        <v>116</v>
      </c>
      <c r="J31" s="37"/>
      <c r="K31" s="37"/>
      <c r="L31" s="37"/>
    </row>
    <row r="32" spans="4:12" x14ac:dyDescent="0.2">
      <c r="D32" s="42"/>
      <c r="E32" s="43" t="s">
        <v>121</v>
      </c>
      <c r="F32" s="42">
        <f>D</f>
        <v>5.2499999999999998E-2</v>
      </c>
      <c r="G32" s="42"/>
      <c r="I32" s="37"/>
      <c r="J32" s="33" t="s">
        <v>121</v>
      </c>
      <c r="K32" s="37">
        <f>D</f>
        <v>5.2499999999999998E-2</v>
      </c>
      <c r="L32" s="37"/>
    </row>
    <row r="33" spans="4:12" x14ac:dyDescent="0.2">
      <c r="D33" s="42"/>
      <c r="E33" s="43" t="s">
        <v>120</v>
      </c>
      <c r="F33" s="46">
        <f>INDEX($E$38:$E$45,MATCH(F32,$D$38:$D$45))+(F32-INDEX($D$38:$D$45,MATCH(F32,$D$38:$D$45)))*(INDEX($E$38:$E$45,MATCH(F32,$D$38:$D$45)+1)-INDEX($E$38:$E$45,MATCH(F32,$D$38:$D$45)))/(INDEX($D$38:$D$45,MATCH(F32,$D$38:$D$45)+1)-INDEX($D$38:$D$45,MATCH(F32,$D$38:$D$45)))</f>
        <v>5.4499999999999993</v>
      </c>
      <c r="G33" s="42"/>
      <c r="I33" s="37"/>
      <c r="J33" s="33" t="s">
        <v>120</v>
      </c>
      <c r="K33" s="38">
        <f>INDEX($J$38:$J$45,MATCH(K32,$I$38:$I$45))+(K32-INDEX($I$38:$I$45,MATCH(K32,$I$38:$I$45)))*(INDEX($J$38:$J$45,MATCH(K32,$I$38:$I$45)+1)-INDEX($J$38:$J$45,MATCH(K32,$I$38:$I$45)))/(INDEX($I$38:$I$45,MATCH(K32,$I$38:$I$45)+1)-INDEX($I$38:$I$45,MATCH(K32,$I$38:$I$45)))</f>
        <v>12.25</v>
      </c>
      <c r="L33" s="37"/>
    </row>
    <row r="34" spans="4:12" x14ac:dyDescent="0.2">
      <c r="D34" s="42"/>
      <c r="E34" s="43" t="s">
        <v>129</v>
      </c>
      <c r="F34" s="42">
        <f>L</f>
        <v>305</v>
      </c>
      <c r="G34" s="42"/>
      <c r="I34" s="37"/>
      <c r="J34" s="33" t="s">
        <v>129</v>
      </c>
      <c r="K34" s="37">
        <f>L</f>
        <v>305</v>
      </c>
      <c r="L34" s="37"/>
    </row>
    <row r="35" spans="4:12" x14ac:dyDescent="0.2">
      <c r="D35" s="42"/>
      <c r="E35" s="43" t="s">
        <v>130</v>
      </c>
      <c r="F35" s="47">
        <f>F34*F33</f>
        <v>1662.2499999999998</v>
      </c>
      <c r="G35" s="42"/>
      <c r="I35" s="37"/>
      <c r="J35" s="33" t="s">
        <v>130</v>
      </c>
      <c r="K35" s="34">
        <f>K34*K33</f>
        <v>3736.25</v>
      </c>
      <c r="L35" s="37"/>
    </row>
    <row r="36" spans="4:12" x14ac:dyDescent="0.2">
      <c r="D36" s="41" t="s">
        <v>128</v>
      </c>
      <c r="E36" s="42"/>
      <c r="F36" s="42"/>
      <c r="G36" s="42"/>
      <c r="I36" s="36" t="s">
        <v>128</v>
      </c>
      <c r="J36" s="37"/>
      <c r="K36" s="37"/>
      <c r="L36" s="37"/>
    </row>
    <row r="37" spans="4:12" x14ac:dyDescent="0.2">
      <c r="D37" s="43" t="s">
        <v>82</v>
      </c>
      <c r="E37" s="43" t="s">
        <v>83</v>
      </c>
      <c r="F37" s="42"/>
      <c r="G37" s="42"/>
      <c r="I37" s="33" t="s">
        <v>82</v>
      </c>
      <c r="J37" s="33" t="s">
        <v>83</v>
      </c>
      <c r="K37" s="37"/>
      <c r="L37" s="37"/>
    </row>
    <row r="38" spans="4:12" x14ac:dyDescent="0.2">
      <c r="D38" s="44">
        <v>1.2999999999999999E-2</v>
      </c>
      <c r="E38" s="45">
        <v>1.4</v>
      </c>
      <c r="F38" s="42"/>
      <c r="G38" s="42"/>
      <c r="I38" s="39">
        <v>1.2999999999999999E-2</v>
      </c>
      <c r="J38" s="40">
        <v>4.5</v>
      </c>
      <c r="K38" s="37"/>
      <c r="L38" s="37"/>
    </row>
    <row r="39" spans="4:12" x14ac:dyDescent="0.2">
      <c r="D39" s="44">
        <v>0.02</v>
      </c>
      <c r="E39" s="45">
        <v>1.8</v>
      </c>
      <c r="F39" s="42"/>
      <c r="G39" s="42"/>
      <c r="I39" s="39">
        <v>0.02</v>
      </c>
      <c r="J39" s="40">
        <v>6.5</v>
      </c>
      <c r="K39" s="37"/>
      <c r="L39" s="37"/>
    </row>
    <row r="40" spans="4:12" x14ac:dyDescent="0.2">
      <c r="D40" s="44">
        <v>0.03</v>
      </c>
      <c r="E40" s="45">
        <v>2.4500000000000002</v>
      </c>
      <c r="F40" s="42"/>
      <c r="G40" s="42"/>
      <c r="I40" s="39">
        <v>0.03</v>
      </c>
      <c r="J40" s="40">
        <v>8.9</v>
      </c>
      <c r="K40" s="37"/>
      <c r="L40" s="37"/>
    </row>
    <row r="41" spans="4:12" x14ac:dyDescent="0.2">
      <c r="D41" s="44">
        <v>0.04</v>
      </c>
      <c r="E41" s="45">
        <v>3.5</v>
      </c>
      <c r="F41" s="42"/>
      <c r="G41" s="42"/>
      <c r="I41" s="39">
        <v>0.04</v>
      </c>
      <c r="J41" s="40">
        <v>10.199999999999999</v>
      </c>
      <c r="K41" s="37"/>
      <c r="L41" s="37"/>
    </row>
    <row r="42" spans="4:12" x14ac:dyDescent="0.2">
      <c r="D42" s="44">
        <v>0.05</v>
      </c>
      <c r="E42" s="45">
        <v>5</v>
      </c>
      <c r="F42" s="42"/>
      <c r="G42" s="42"/>
      <c r="I42" s="39">
        <v>0.05</v>
      </c>
      <c r="J42" s="40">
        <v>12</v>
      </c>
      <c r="K42" s="37"/>
      <c r="L42" s="37"/>
    </row>
    <row r="43" spans="4:12" x14ac:dyDescent="0.2">
      <c r="D43" s="44">
        <v>0.06</v>
      </c>
      <c r="E43" s="45">
        <v>6.8</v>
      </c>
      <c r="F43" s="42"/>
      <c r="G43" s="42"/>
      <c r="I43" s="39">
        <v>0.06</v>
      </c>
      <c r="J43" s="40">
        <v>13</v>
      </c>
      <c r="K43" s="37"/>
      <c r="L43" s="37"/>
    </row>
    <row r="44" spans="4:12" x14ac:dyDescent="0.2">
      <c r="D44" s="44">
        <v>7.0000000000000007E-2</v>
      </c>
      <c r="E44" s="45">
        <v>9</v>
      </c>
      <c r="F44" s="42"/>
      <c r="G44" s="42"/>
      <c r="I44" s="39">
        <v>7.0000000000000007E-2</v>
      </c>
      <c r="J44" s="40">
        <v>13.5</v>
      </c>
      <c r="K44" s="37"/>
      <c r="L44" s="37"/>
    </row>
    <row r="45" spans="4:12" x14ac:dyDescent="0.2">
      <c r="D45" s="44">
        <f>0.0254*3</f>
        <v>7.619999999999999E-2</v>
      </c>
      <c r="E45" s="45">
        <v>11</v>
      </c>
      <c r="F45" s="42"/>
      <c r="G45" s="42"/>
      <c r="I45" s="39">
        <f>0.0254*3</f>
        <v>7.619999999999999E-2</v>
      </c>
      <c r="J45" s="40">
        <v>13.6</v>
      </c>
      <c r="K45" s="37"/>
      <c r="L45" s="37"/>
    </row>
    <row r="48" spans="4:12" x14ac:dyDescent="0.2">
      <c r="D48" s="41" t="s">
        <v>115</v>
      </c>
      <c r="E48" s="42"/>
      <c r="F48" s="42"/>
      <c r="G48" s="42"/>
      <c r="I48" s="36" t="s">
        <v>114</v>
      </c>
      <c r="J48" s="37"/>
      <c r="K48" s="37"/>
      <c r="L48" s="37"/>
    </row>
    <row r="49" spans="4:13" x14ac:dyDescent="0.2">
      <c r="D49" s="42"/>
      <c r="E49" s="43" t="s">
        <v>121</v>
      </c>
      <c r="F49" s="42">
        <f>D</f>
        <v>5.2499999999999998E-2</v>
      </c>
      <c r="G49" s="42"/>
      <c r="I49" s="37"/>
      <c r="J49" s="33" t="s">
        <v>121</v>
      </c>
      <c r="K49" s="37">
        <f>D</f>
        <v>5.2499999999999998E-2</v>
      </c>
      <c r="L49" s="37"/>
    </row>
    <row r="50" spans="4:13" x14ac:dyDescent="0.2">
      <c r="D50" s="42"/>
      <c r="E50" s="43" t="s">
        <v>120</v>
      </c>
      <c r="F50" s="46">
        <f>INDEX($E$55:$E$62,MATCH(F49,$D$55:$D$62))+(F49-INDEX($D$55:$D$62,MATCH(F49,$D$55:$D$62)))*(INDEX($E$55:$E$62,MATCH(F49,$D$55:$D$62)+1)-INDEX($E$55:$E$62,MATCH(F49,$D$55:$D$62)))/(INDEX($D$55:$D$62,MATCH(F49,$D$55:$D$62)+1)-INDEX($D$55:$D$62,MATCH(F49,$D$55:$D$62)))</f>
        <v>7.7499999999999991</v>
      </c>
      <c r="G50" s="42"/>
      <c r="I50" s="37"/>
      <c r="J50" s="33" t="s">
        <v>120</v>
      </c>
      <c r="K50" s="38">
        <f>INDEX($J$55:$J$62,MATCH(K49,$I$55:$I$62))+(K49-INDEX($I$55:$I$62,MATCH(K49,$I$55:$I$62)))*(INDEX($J$55:$J$62,MATCH(K49,$I$55:$I$62)+1)-INDEX($J$55:$J$62,MATCH(K49,$I$55:$I$62)))/(INDEX($I$55:$I$62,MATCH(K49,$I$55:$I$62)+1)-INDEX($I$55:$I$62,MATCH(K49,$I$55:$I$62)))</f>
        <v>15.25</v>
      </c>
      <c r="L50" s="37"/>
    </row>
    <row r="51" spans="4:13" x14ac:dyDescent="0.2">
      <c r="D51" s="42"/>
      <c r="E51" s="43" t="s">
        <v>129</v>
      </c>
      <c r="F51" s="42">
        <f>L</f>
        <v>305</v>
      </c>
      <c r="G51" s="42"/>
      <c r="I51" s="37"/>
      <c r="J51" s="33" t="s">
        <v>129</v>
      </c>
      <c r="K51" s="37">
        <f>L</f>
        <v>305</v>
      </c>
      <c r="L51" s="37"/>
    </row>
    <row r="52" spans="4:13" x14ac:dyDescent="0.2">
      <c r="D52" s="42"/>
      <c r="E52" s="43" t="s">
        <v>130</v>
      </c>
      <c r="F52" s="47">
        <f>F51*F50</f>
        <v>2363.7499999999995</v>
      </c>
      <c r="G52" s="42"/>
      <c r="I52" s="37"/>
      <c r="J52" s="33" t="s">
        <v>130</v>
      </c>
      <c r="K52" s="34">
        <f>K51*K50</f>
        <v>4651.25</v>
      </c>
      <c r="L52" s="37"/>
    </row>
    <row r="53" spans="4:13" x14ac:dyDescent="0.2">
      <c r="D53" s="41" t="s">
        <v>128</v>
      </c>
      <c r="E53" s="42"/>
      <c r="F53" s="42"/>
      <c r="G53" s="42"/>
      <c r="I53" s="36" t="s">
        <v>128</v>
      </c>
      <c r="J53" s="37"/>
      <c r="K53" s="37"/>
      <c r="L53" s="37"/>
    </row>
    <row r="54" spans="4:13" x14ac:dyDescent="0.2">
      <c r="D54" s="43" t="s">
        <v>82</v>
      </c>
      <c r="E54" s="43" t="s">
        <v>83</v>
      </c>
      <c r="F54" s="42"/>
      <c r="G54" s="42"/>
      <c r="I54" s="33" t="s">
        <v>82</v>
      </c>
      <c r="J54" s="33" t="s">
        <v>83</v>
      </c>
      <c r="K54" s="37"/>
      <c r="L54" s="37"/>
    </row>
    <row r="55" spans="4:13" x14ac:dyDescent="0.2">
      <c r="D55" s="44">
        <v>1.2999999999999999E-2</v>
      </c>
      <c r="E55" s="45">
        <v>1.9</v>
      </c>
      <c r="F55" s="42"/>
      <c r="G55" s="42"/>
      <c r="I55" s="39">
        <v>1.2999999999999999E-2</v>
      </c>
      <c r="J55" s="40">
        <v>5.3</v>
      </c>
      <c r="K55" s="37"/>
      <c r="L55" s="37"/>
    </row>
    <row r="56" spans="4:13" x14ac:dyDescent="0.2">
      <c r="D56" s="44">
        <v>0.02</v>
      </c>
      <c r="E56" s="45">
        <v>2.2999999999999998</v>
      </c>
      <c r="F56" s="42"/>
      <c r="G56" s="42"/>
      <c r="I56" s="39">
        <v>0.02</v>
      </c>
      <c r="J56" s="40">
        <v>8.9</v>
      </c>
      <c r="K56" s="37"/>
      <c r="L56" s="37"/>
    </row>
    <row r="57" spans="4:13" x14ac:dyDescent="0.2">
      <c r="D57" s="44">
        <v>0.03</v>
      </c>
      <c r="E57" s="45">
        <v>3.3</v>
      </c>
      <c r="F57" s="42"/>
      <c r="G57" s="42"/>
      <c r="I57" s="39">
        <v>0.03</v>
      </c>
      <c r="J57" s="40">
        <v>12</v>
      </c>
      <c r="K57" s="37"/>
      <c r="L57" s="37"/>
    </row>
    <row r="58" spans="4:13" x14ac:dyDescent="0.2">
      <c r="D58" s="44">
        <v>0.04</v>
      </c>
      <c r="E58" s="45">
        <v>4.9000000000000004</v>
      </c>
      <c r="F58" s="42"/>
      <c r="G58" s="42"/>
      <c r="I58" s="39">
        <v>0.04</v>
      </c>
      <c r="J58" s="40">
        <v>14</v>
      </c>
      <c r="K58" s="37"/>
      <c r="L58" s="37"/>
    </row>
    <row r="59" spans="4:13" x14ac:dyDescent="0.2">
      <c r="D59" s="44">
        <v>0.05</v>
      </c>
      <c r="E59" s="45">
        <v>7</v>
      </c>
      <c r="F59" s="42"/>
      <c r="G59" s="42"/>
      <c r="I59" s="39">
        <v>0.05</v>
      </c>
      <c r="J59" s="40">
        <v>15</v>
      </c>
      <c r="K59" s="37"/>
      <c r="L59" s="37"/>
    </row>
    <row r="60" spans="4:13" x14ac:dyDescent="0.2">
      <c r="D60" s="44">
        <v>0.06</v>
      </c>
      <c r="E60" s="45">
        <v>10</v>
      </c>
      <c r="F60" s="42"/>
      <c r="G60" s="42"/>
      <c r="I60" s="39">
        <v>0.06</v>
      </c>
      <c r="J60" s="40">
        <v>16</v>
      </c>
      <c r="K60" s="37"/>
      <c r="L60" s="37"/>
    </row>
    <row r="61" spans="4:13" x14ac:dyDescent="0.2">
      <c r="D61" s="44">
        <v>7.0000000000000007E-2</v>
      </c>
      <c r="E61" s="45">
        <v>14</v>
      </c>
      <c r="F61" s="42"/>
      <c r="G61" s="42"/>
      <c r="I61" s="39">
        <v>7.0000000000000007E-2</v>
      </c>
      <c r="J61" s="40">
        <v>16.5</v>
      </c>
      <c r="K61" s="37"/>
      <c r="L61" s="37"/>
    </row>
    <row r="62" spans="4:13" x14ac:dyDescent="0.2">
      <c r="D62" s="44">
        <v>7.5999999999999998E-2</v>
      </c>
      <c r="E62" s="45">
        <v>18</v>
      </c>
      <c r="F62" s="42"/>
      <c r="G62" s="42"/>
      <c r="I62" s="39">
        <v>7.5999999999999998E-2</v>
      </c>
      <c r="J62" s="40">
        <v>17</v>
      </c>
      <c r="K62" s="37"/>
      <c r="L62" s="37"/>
    </row>
    <row r="63" spans="4:13" x14ac:dyDescent="0.2">
      <c r="H63" s="49"/>
      <c r="M63" s="49"/>
    </row>
    <row r="64" spans="4:13" x14ac:dyDescent="0.2">
      <c r="H64" s="49"/>
      <c r="M64" s="49"/>
    </row>
    <row r="65" spans="4:17" x14ac:dyDescent="0.2">
      <c r="D65" s="48" t="s">
        <v>117</v>
      </c>
      <c r="E65" s="49"/>
      <c r="F65" s="49"/>
      <c r="G65" s="49"/>
      <c r="H65" s="49"/>
      <c r="I65" s="48" t="s">
        <v>118</v>
      </c>
      <c r="J65" s="49"/>
      <c r="K65" s="49"/>
      <c r="L65" s="49"/>
      <c r="M65" s="49"/>
      <c r="N65" s="48" t="s">
        <v>119</v>
      </c>
      <c r="O65" s="49"/>
      <c r="P65" s="49"/>
      <c r="Q65" s="49"/>
    </row>
    <row r="66" spans="4:17" x14ac:dyDescent="0.2">
      <c r="D66" s="49"/>
      <c r="E66" s="50" t="s">
        <v>121</v>
      </c>
      <c r="F66" s="49">
        <f>D</f>
        <v>5.2499999999999998E-2</v>
      </c>
      <c r="G66" s="49"/>
      <c r="H66" s="49"/>
      <c r="I66" s="49"/>
      <c r="J66" s="50" t="s">
        <v>121</v>
      </c>
      <c r="K66" s="49">
        <f>D</f>
        <v>5.2499999999999998E-2</v>
      </c>
      <c r="L66" s="49"/>
      <c r="M66" s="49"/>
      <c r="N66" s="49"/>
      <c r="O66" s="50" t="s">
        <v>121</v>
      </c>
      <c r="P66" s="49">
        <f>D</f>
        <v>5.2499999999999998E-2</v>
      </c>
      <c r="Q66" s="49"/>
    </row>
    <row r="67" spans="4:17" x14ac:dyDescent="0.2">
      <c r="D67" s="49"/>
      <c r="E67" s="50" t="s">
        <v>120</v>
      </c>
      <c r="F67" s="51">
        <f>INDEX($E$73:$E$85,MATCH(F66,$D$73:$D$85))+(F66-INDEX($D$73:$D$85,MATCH(F66,$D$73:$D$85)))*(INDEX($E$73:$E$85,MATCH(F66,$D$73:$D$85)+1)-INDEX($E$73:$E$85,MATCH(F66,$D$73:$D$85)))/(INDEX($D$73:$D$85,MATCH(F66,$D$73:$D$85)+1)-INDEX($D$73:$D$85,MATCH(F66,$D$73:$D$85)))</f>
        <v>62.5</v>
      </c>
      <c r="G67" s="49"/>
      <c r="H67" s="49"/>
      <c r="I67" s="49"/>
      <c r="J67" s="50" t="s">
        <v>120</v>
      </c>
      <c r="K67" s="51">
        <f>INDEX($J$73:$J$88,MATCH(K66,$I$73:$I$88))+(K66-INDEX($I$73:$I$88,MATCH(K66,$I$73:$I$88)))*(INDEX($J$73:$J$88,MATCH(K66,$I$73:$I$88)+1)-INDEX($J$73:$J$88,MATCH(K66,$I$73:$I$88)))/(INDEX($I$73:$I$88,MATCH(K66,$I$73:$I$88)+1)-INDEX($I$73:$I$88,MATCH(K66,$I$73:$I$88)))</f>
        <v>111.24999999999999</v>
      </c>
      <c r="L67" s="49"/>
      <c r="M67" s="49"/>
      <c r="N67" s="49"/>
      <c r="O67" s="50" t="s">
        <v>120</v>
      </c>
      <c r="P67" s="51">
        <f>INDEX($O$73:$O$85,MATCH(P66,$N$73:$N$85))+(P66-INDEX($N$73:$N$85,MATCH(P66,$N$73:$N$85)))*(INDEX($O$73:$O$85,MATCH(P66,$N$73:$N$85)+1)-INDEX($O$73:$O$85,MATCH(P66,$N$73:$N$85)))/(INDEX($N$73:$N$85,MATCH(P66,$N$73:$N$85)+1)-INDEX($N$73:$N$85,MATCH(P66,$N$73:$N$85)))</f>
        <v>165.74999999999997</v>
      </c>
      <c r="Q67" s="49"/>
    </row>
    <row r="68" spans="4:17" x14ac:dyDescent="0.2">
      <c r="D68" s="49"/>
      <c r="E68" s="50" t="s">
        <v>129</v>
      </c>
      <c r="F68" s="49">
        <f>L</f>
        <v>305</v>
      </c>
      <c r="G68" s="49"/>
      <c r="H68" s="49"/>
      <c r="I68" s="49"/>
      <c r="J68" s="50" t="s">
        <v>129</v>
      </c>
      <c r="K68" s="49">
        <f>L</f>
        <v>305</v>
      </c>
      <c r="L68" s="49"/>
      <c r="M68" s="49"/>
      <c r="N68" s="49"/>
      <c r="O68" s="50" t="s">
        <v>129</v>
      </c>
      <c r="P68" s="49">
        <f>L</f>
        <v>305</v>
      </c>
      <c r="Q68" s="49"/>
    </row>
    <row r="69" spans="4:17" x14ac:dyDescent="0.2">
      <c r="D69" s="49"/>
      <c r="E69" s="50" t="s">
        <v>130</v>
      </c>
      <c r="F69" s="52">
        <f>F68*F67</f>
        <v>19062.5</v>
      </c>
      <c r="G69" s="49"/>
      <c r="H69" s="49"/>
      <c r="I69" s="49"/>
      <c r="J69" s="50" t="s">
        <v>130</v>
      </c>
      <c r="K69" s="52">
        <f>K68*K67</f>
        <v>33931.249999999993</v>
      </c>
      <c r="L69" s="49"/>
      <c r="M69" s="49"/>
      <c r="N69" s="49"/>
      <c r="O69" s="50" t="s">
        <v>130</v>
      </c>
      <c r="P69" s="52">
        <f>P68*P67</f>
        <v>50553.749999999993</v>
      </c>
      <c r="Q69" s="49"/>
    </row>
    <row r="70" spans="4:17" x14ac:dyDescent="0.2">
      <c r="D70" s="48" t="s">
        <v>128</v>
      </c>
      <c r="E70" s="49"/>
      <c r="F70" s="49"/>
      <c r="G70" s="49"/>
      <c r="H70" s="49"/>
      <c r="I70" s="48" t="s">
        <v>128</v>
      </c>
      <c r="J70" s="49"/>
      <c r="K70" s="49"/>
      <c r="L70" s="49"/>
      <c r="M70" s="49"/>
      <c r="N70" s="48" t="s">
        <v>128</v>
      </c>
      <c r="O70" s="49"/>
      <c r="P70" s="49"/>
      <c r="Q70" s="49"/>
    </row>
    <row r="71" spans="4:17" x14ac:dyDescent="0.2">
      <c r="D71" s="50" t="s">
        <v>82</v>
      </c>
      <c r="E71" s="50" t="s">
        <v>83</v>
      </c>
      <c r="F71" s="49"/>
      <c r="G71" s="49"/>
      <c r="H71" s="49"/>
      <c r="I71" s="50" t="s">
        <v>82</v>
      </c>
      <c r="J71" s="50" t="s">
        <v>83</v>
      </c>
      <c r="K71" s="49"/>
      <c r="L71" s="49"/>
      <c r="M71" s="49"/>
      <c r="N71" s="50" t="s">
        <v>82</v>
      </c>
      <c r="O71" s="50" t="s">
        <v>83</v>
      </c>
      <c r="P71" s="49"/>
      <c r="Q71" s="49"/>
    </row>
    <row r="72" spans="4:17" x14ac:dyDescent="0.2">
      <c r="D72" s="50" t="s">
        <v>2</v>
      </c>
      <c r="E72" s="50" t="s">
        <v>84</v>
      </c>
      <c r="F72" s="49"/>
      <c r="G72" s="49"/>
      <c r="H72" s="49"/>
      <c r="I72" s="50" t="s">
        <v>2</v>
      </c>
      <c r="J72" s="50" t="s">
        <v>84</v>
      </c>
      <c r="K72" s="49"/>
      <c r="L72" s="49"/>
      <c r="M72" s="49"/>
      <c r="N72" s="50" t="s">
        <v>2</v>
      </c>
      <c r="O72" s="50" t="s">
        <v>84</v>
      </c>
      <c r="P72" s="49"/>
      <c r="Q72" s="49"/>
    </row>
    <row r="73" spans="4:17" x14ac:dyDescent="0.2">
      <c r="D73" s="53">
        <v>1.2999999999999999E-2</v>
      </c>
      <c r="E73" s="54">
        <v>29</v>
      </c>
      <c r="F73" s="49"/>
      <c r="G73" s="49"/>
      <c r="H73" s="49"/>
      <c r="I73" s="53">
        <v>1.2999999999999999E-2</v>
      </c>
      <c r="J73" s="54">
        <v>35</v>
      </c>
      <c r="K73" s="49"/>
      <c r="L73" s="49"/>
      <c r="M73" s="49"/>
      <c r="N73" s="53">
        <v>0.04</v>
      </c>
      <c r="O73" s="54">
        <v>120</v>
      </c>
      <c r="P73" s="49"/>
      <c r="Q73" s="49"/>
    </row>
    <row r="74" spans="4:17" x14ac:dyDescent="0.2">
      <c r="D74" s="53">
        <v>0.02</v>
      </c>
      <c r="E74" s="54">
        <v>34</v>
      </c>
      <c r="F74" s="49"/>
      <c r="G74" s="49"/>
      <c r="H74" s="49"/>
      <c r="I74" s="53">
        <v>0.02</v>
      </c>
      <c r="J74" s="54">
        <v>47</v>
      </c>
      <c r="K74" s="49"/>
      <c r="L74" s="49"/>
      <c r="M74" s="49"/>
      <c r="N74" s="53">
        <v>0.05</v>
      </c>
      <c r="O74" s="54">
        <v>155</v>
      </c>
      <c r="P74" s="49"/>
      <c r="Q74" s="49"/>
    </row>
    <row r="75" spans="4:17" x14ac:dyDescent="0.2">
      <c r="D75" s="53">
        <v>0.03</v>
      </c>
      <c r="E75" s="54">
        <v>43</v>
      </c>
      <c r="F75" s="49"/>
      <c r="G75" s="49"/>
      <c r="H75" s="49"/>
      <c r="I75" s="53">
        <v>0.03</v>
      </c>
      <c r="J75" s="54">
        <v>64</v>
      </c>
      <c r="K75" s="49"/>
      <c r="L75" s="49"/>
      <c r="M75" s="49"/>
      <c r="N75" s="53">
        <v>0.06</v>
      </c>
      <c r="O75" s="54">
        <v>198</v>
      </c>
      <c r="P75" s="49"/>
      <c r="Q75" s="49"/>
    </row>
    <row r="76" spans="4:17" x14ac:dyDescent="0.2">
      <c r="D76" s="53">
        <v>0.04</v>
      </c>
      <c r="E76" s="54">
        <v>50</v>
      </c>
      <c r="F76" s="49"/>
      <c r="G76" s="49"/>
      <c r="H76" s="49"/>
      <c r="I76" s="53">
        <v>0.04</v>
      </c>
      <c r="J76" s="54">
        <v>84</v>
      </c>
      <c r="K76" s="49"/>
      <c r="L76" s="49"/>
      <c r="M76" s="49"/>
      <c r="N76" s="53">
        <v>7.0000000000000007E-2</v>
      </c>
      <c r="O76" s="54">
        <v>250</v>
      </c>
      <c r="P76" s="49"/>
      <c r="Q76" s="49"/>
    </row>
    <row r="77" spans="4:17" x14ac:dyDescent="0.2">
      <c r="D77" s="53">
        <v>0.05</v>
      </c>
      <c r="E77" s="54">
        <v>60</v>
      </c>
      <c r="F77" s="49"/>
      <c r="G77" s="49"/>
      <c r="H77" s="49"/>
      <c r="I77" s="53">
        <v>0.05</v>
      </c>
      <c r="J77" s="54">
        <v>105</v>
      </c>
      <c r="K77" s="49"/>
      <c r="L77" s="49"/>
      <c r="M77" s="49"/>
      <c r="N77" s="53">
        <v>0.08</v>
      </c>
      <c r="O77" s="54">
        <v>300</v>
      </c>
      <c r="P77" s="49"/>
      <c r="Q77" s="49"/>
    </row>
    <row r="78" spans="4:17" x14ac:dyDescent="0.2">
      <c r="D78" s="53">
        <v>0.06</v>
      </c>
      <c r="E78" s="54">
        <v>70</v>
      </c>
      <c r="F78" s="49"/>
      <c r="G78" s="49"/>
      <c r="H78" s="49"/>
      <c r="I78" s="53">
        <v>0.06</v>
      </c>
      <c r="J78" s="54">
        <v>130</v>
      </c>
      <c r="K78" s="49"/>
      <c r="L78" s="49"/>
      <c r="M78" s="49"/>
      <c r="N78" s="53">
        <v>0.09</v>
      </c>
      <c r="O78" s="54">
        <v>360</v>
      </c>
      <c r="P78" s="49"/>
      <c r="Q78" s="49"/>
    </row>
    <row r="79" spans="4:17" x14ac:dyDescent="0.2">
      <c r="D79" s="53">
        <v>7.0000000000000007E-2</v>
      </c>
      <c r="E79" s="54">
        <v>80</v>
      </c>
      <c r="F79" s="49"/>
      <c r="G79" s="49"/>
      <c r="H79" s="49"/>
      <c r="I79" s="53">
        <v>7.0000000000000007E-2</v>
      </c>
      <c r="J79" s="54">
        <v>152</v>
      </c>
      <c r="K79" s="49"/>
      <c r="L79" s="49"/>
      <c r="M79" s="49"/>
      <c r="N79" s="53">
        <v>0.1</v>
      </c>
      <c r="O79" s="54">
        <v>420</v>
      </c>
      <c r="P79" s="49"/>
      <c r="Q79" s="49"/>
    </row>
    <row r="80" spans="4:17" x14ac:dyDescent="0.2">
      <c r="D80" s="53">
        <v>0.08</v>
      </c>
      <c r="E80" s="54">
        <v>90</v>
      </c>
      <c r="F80" s="49"/>
      <c r="G80" s="49"/>
      <c r="H80" s="49"/>
      <c r="I80" s="53">
        <v>0.08</v>
      </c>
      <c r="J80" s="54">
        <v>178</v>
      </c>
      <c r="K80" s="49"/>
      <c r="L80" s="49"/>
      <c r="M80" s="49"/>
      <c r="N80" s="53">
        <v>0.14000000000000001</v>
      </c>
      <c r="O80" s="54">
        <v>650</v>
      </c>
      <c r="P80" s="49"/>
      <c r="Q80" s="49"/>
    </row>
    <row r="81" spans="4:17" x14ac:dyDescent="0.2">
      <c r="D81" s="53">
        <v>0.09</v>
      </c>
      <c r="E81" s="54">
        <v>100</v>
      </c>
      <c r="F81" s="49"/>
      <c r="G81" s="49"/>
      <c r="H81" s="49"/>
      <c r="I81" s="53">
        <v>0.09</v>
      </c>
      <c r="J81" s="54">
        <v>200</v>
      </c>
      <c r="K81" s="49"/>
      <c r="L81" s="49"/>
      <c r="M81" s="49"/>
      <c r="N81" s="53">
        <v>0.2</v>
      </c>
      <c r="O81" s="54">
        <v>1000</v>
      </c>
      <c r="P81" s="49"/>
      <c r="Q81" s="49"/>
    </row>
    <row r="82" spans="4:17" x14ac:dyDescent="0.2">
      <c r="D82" s="53">
        <v>0.1</v>
      </c>
      <c r="E82" s="54">
        <v>110</v>
      </c>
      <c r="F82" s="49"/>
      <c r="G82" s="49"/>
      <c r="H82" s="49"/>
      <c r="I82" s="53">
        <v>0.1</v>
      </c>
      <c r="J82" s="54">
        <v>225</v>
      </c>
      <c r="K82" s="49"/>
      <c r="L82" s="49"/>
      <c r="M82" s="49"/>
      <c r="N82" s="53">
        <v>0.3</v>
      </c>
      <c r="O82" s="54">
        <v>1600</v>
      </c>
      <c r="P82" s="49"/>
      <c r="Q82" s="49"/>
    </row>
    <row r="83" spans="4:17" x14ac:dyDescent="0.2">
      <c r="D83" s="53">
        <v>0.14000000000000001</v>
      </c>
      <c r="E83" s="54">
        <v>160</v>
      </c>
      <c r="F83" s="49"/>
      <c r="G83" s="49"/>
      <c r="H83" s="49"/>
      <c r="I83" s="53">
        <v>0.14000000000000001</v>
      </c>
      <c r="J83" s="54">
        <v>350</v>
      </c>
      <c r="K83" s="49"/>
      <c r="L83" s="49"/>
      <c r="M83" s="49"/>
      <c r="N83" s="53">
        <v>0.4</v>
      </c>
      <c r="O83" s="54">
        <v>2200</v>
      </c>
      <c r="P83" s="49"/>
      <c r="Q83" s="49"/>
    </row>
    <row r="84" spans="4:17" x14ac:dyDescent="0.2">
      <c r="D84" s="53">
        <v>0.2</v>
      </c>
      <c r="E84" s="54">
        <v>260</v>
      </c>
      <c r="F84" s="49"/>
      <c r="G84" s="49"/>
      <c r="H84" s="49"/>
      <c r="I84" s="53">
        <v>0.2</v>
      </c>
      <c r="J84" s="54">
        <v>560</v>
      </c>
      <c r="K84" s="49"/>
      <c r="L84" s="49"/>
      <c r="M84" s="49"/>
      <c r="N84" s="53">
        <v>0.5</v>
      </c>
      <c r="O84" s="54">
        <v>2900</v>
      </c>
      <c r="P84" s="49"/>
      <c r="Q84" s="49"/>
    </row>
    <row r="85" spans="4:17" x14ac:dyDescent="0.2">
      <c r="D85" s="53">
        <v>0.3</v>
      </c>
      <c r="E85" s="54">
        <v>420</v>
      </c>
      <c r="F85" s="49"/>
      <c r="G85" s="49"/>
      <c r="I85" s="53">
        <v>0.3</v>
      </c>
      <c r="J85" s="54">
        <v>950</v>
      </c>
      <c r="K85" s="49"/>
      <c r="L85" s="49"/>
      <c r="N85" s="53">
        <v>0.6</v>
      </c>
      <c r="O85" s="54">
        <v>3500</v>
      </c>
      <c r="P85" s="49"/>
      <c r="Q85" s="49"/>
    </row>
    <row r="86" spans="4:17" x14ac:dyDescent="0.2">
      <c r="I86" s="53">
        <v>0.4</v>
      </c>
      <c r="J86" s="54">
        <v>1350</v>
      </c>
      <c r="K86" s="49"/>
      <c r="L86" s="49"/>
    </row>
    <row r="87" spans="4:17" x14ac:dyDescent="0.2">
      <c r="I87" s="53">
        <v>0.5</v>
      </c>
      <c r="J87" s="54">
        <v>1650</v>
      </c>
      <c r="K87" s="49"/>
      <c r="L87" s="49"/>
    </row>
    <row r="88" spans="4:17" x14ac:dyDescent="0.2">
      <c r="I88" s="53">
        <v>0.6</v>
      </c>
      <c r="J88" s="54">
        <v>1900</v>
      </c>
      <c r="K88" s="49"/>
      <c r="L88" s="49"/>
    </row>
    <row r="91" spans="4:17" x14ac:dyDescent="0.2">
      <c r="D91" s="48" t="s">
        <v>122</v>
      </c>
      <c r="E91" s="49"/>
      <c r="F91" s="49"/>
      <c r="G91" s="49"/>
      <c r="H91" s="49"/>
      <c r="I91" s="48" t="s">
        <v>124</v>
      </c>
      <c r="J91" s="49"/>
      <c r="K91" s="49"/>
      <c r="L91" s="49"/>
      <c r="M91" s="49"/>
      <c r="N91" s="48" t="s">
        <v>126</v>
      </c>
      <c r="O91" s="49"/>
      <c r="P91" s="49"/>
      <c r="Q91" s="49"/>
    </row>
    <row r="92" spans="4:17" x14ac:dyDescent="0.2">
      <c r="D92" s="49"/>
      <c r="E92" s="50" t="s">
        <v>121</v>
      </c>
      <c r="F92" s="49">
        <f>F66</f>
        <v>5.2499999999999998E-2</v>
      </c>
      <c r="G92" s="49"/>
      <c r="H92" s="49"/>
      <c r="I92" s="49"/>
      <c r="J92" s="50" t="s">
        <v>121</v>
      </c>
      <c r="K92" s="49">
        <f>K66</f>
        <v>5.2499999999999998E-2</v>
      </c>
      <c r="L92" s="49"/>
      <c r="M92" s="49"/>
      <c r="N92" s="49"/>
      <c r="O92" s="50" t="s">
        <v>121</v>
      </c>
      <c r="P92" s="49">
        <f>P66</f>
        <v>5.2499999999999998E-2</v>
      </c>
      <c r="Q92" s="49"/>
    </row>
    <row r="93" spans="4:17" x14ac:dyDescent="0.2">
      <c r="D93" s="49"/>
      <c r="E93" s="50" t="s">
        <v>120</v>
      </c>
      <c r="F93" s="51">
        <f>1.25*F67</f>
        <v>78.125</v>
      </c>
      <c r="G93" s="49"/>
      <c r="H93" s="49"/>
      <c r="I93" s="49"/>
      <c r="J93" s="50" t="s">
        <v>120</v>
      </c>
      <c r="K93" s="51">
        <f>1.25*K67</f>
        <v>139.06249999999997</v>
      </c>
      <c r="L93" s="49"/>
      <c r="M93" s="49"/>
      <c r="N93" s="49"/>
      <c r="O93" s="50" t="s">
        <v>120</v>
      </c>
      <c r="P93" s="51">
        <f>1.25*P67</f>
        <v>207.18749999999997</v>
      </c>
      <c r="Q93" s="49"/>
    </row>
    <row r="94" spans="4:17" x14ac:dyDescent="0.2">
      <c r="D94" s="49"/>
      <c r="E94" s="50" t="s">
        <v>129</v>
      </c>
      <c r="F94" s="49">
        <f>L</f>
        <v>305</v>
      </c>
      <c r="G94" s="49"/>
      <c r="H94" s="49"/>
      <c r="I94" s="49"/>
      <c r="J94" s="50" t="s">
        <v>129</v>
      </c>
      <c r="K94" s="49">
        <f>L</f>
        <v>305</v>
      </c>
      <c r="L94" s="49"/>
      <c r="M94" s="49"/>
      <c r="N94" s="49"/>
      <c r="O94" s="50" t="s">
        <v>129</v>
      </c>
      <c r="P94" s="49">
        <f>L</f>
        <v>305</v>
      </c>
      <c r="Q94" s="49"/>
    </row>
    <row r="95" spans="4:17" x14ac:dyDescent="0.2">
      <c r="D95" s="49"/>
      <c r="E95" s="50" t="s">
        <v>130</v>
      </c>
      <c r="F95" s="52">
        <f>F94*F93</f>
        <v>23828.125</v>
      </c>
      <c r="G95" s="49"/>
      <c r="H95" s="49"/>
      <c r="I95" s="49"/>
      <c r="J95" s="50" t="s">
        <v>130</v>
      </c>
      <c r="K95" s="52">
        <f>K94*K93</f>
        <v>42414.062499999993</v>
      </c>
      <c r="L95" s="49"/>
      <c r="M95" s="49"/>
      <c r="N95" s="49"/>
      <c r="O95" s="50" t="s">
        <v>130</v>
      </c>
      <c r="P95" s="52">
        <f>P94*P93</f>
        <v>63192.187499999993</v>
      </c>
      <c r="Q95" s="49"/>
    </row>
    <row r="96" spans="4:17" x14ac:dyDescent="0.2">
      <c r="D96" s="48" t="s">
        <v>131</v>
      </c>
      <c r="E96" s="49"/>
      <c r="F96" s="49"/>
      <c r="G96" s="49"/>
      <c r="H96" s="49"/>
      <c r="I96" s="48" t="s">
        <v>131</v>
      </c>
      <c r="J96" s="49"/>
      <c r="K96" s="49"/>
      <c r="L96" s="49"/>
      <c r="M96" s="49"/>
      <c r="N96" s="48" t="s">
        <v>131</v>
      </c>
      <c r="O96" s="49"/>
      <c r="P96" s="49"/>
      <c r="Q96" s="49"/>
    </row>
    <row r="99" spans="4:17" x14ac:dyDescent="0.2">
      <c r="D99" s="48" t="s">
        <v>123</v>
      </c>
      <c r="E99" s="49"/>
      <c r="F99" s="49"/>
      <c r="G99" s="49"/>
      <c r="H99" s="49"/>
      <c r="I99" s="48" t="s">
        <v>125</v>
      </c>
      <c r="J99" s="49"/>
      <c r="K99" s="49"/>
      <c r="L99" s="49"/>
      <c r="M99" s="49"/>
      <c r="N99" s="48" t="s">
        <v>127</v>
      </c>
      <c r="O99" s="49"/>
      <c r="P99" s="49"/>
      <c r="Q99" s="49"/>
    </row>
    <row r="100" spans="4:17" x14ac:dyDescent="0.2">
      <c r="D100" s="49"/>
      <c r="E100" s="50" t="s">
        <v>121</v>
      </c>
      <c r="F100" s="49">
        <f>F66</f>
        <v>5.2499999999999998E-2</v>
      </c>
      <c r="G100" s="49"/>
      <c r="H100" s="49"/>
      <c r="I100" s="49"/>
      <c r="J100" s="50" t="s">
        <v>121</v>
      </c>
      <c r="K100" s="49">
        <f>K66</f>
        <v>5.2499999999999998E-2</v>
      </c>
      <c r="L100" s="49"/>
      <c r="M100" s="49"/>
      <c r="N100" s="49"/>
      <c r="O100" s="50" t="s">
        <v>121</v>
      </c>
      <c r="P100" s="49">
        <f>P66</f>
        <v>5.2499999999999998E-2</v>
      </c>
      <c r="Q100" s="49"/>
    </row>
    <row r="101" spans="4:17" x14ac:dyDescent="0.2">
      <c r="D101" s="49"/>
      <c r="E101" s="50" t="s">
        <v>120</v>
      </c>
      <c r="F101" s="51">
        <f>1.45*F67</f>
        <v>90.625</v>
      </c>
      <c r="G101" s="49"/>
      <c r="H101" s="49"/>
      <c r="I101" s="49"/>
      <c r="J101" s="50" t="s">
        <v>120</v>
      </c>
      <c r="K101" s="51">
        <f>1.45*K67</f>
        <v>161.31249999999997</v>
      </c>
      <c r="L101" s="49"/>
      <c r="M101" s="49"/>
      <c r="N101" s="49"/>
      <c r="O101" s="50" t="s">
        <v>120</v>
      </c>
      <c r="P101" s="51">
        <f>1.45*P67</f>
        <v>240.33749999999995</v>
      </c>
      <c r="Q101" s="49"/>
    </row>
    <row r="102" spans="4:17" x14ac:dyDescent="0.2">
      <c r="D102" s="49"/>
      <c r="E102" s="50" t="s">
        <v>129</v>
      </c>
      <c r="F102" s="49">
        <f>L</f>
        <v>305</v>
      </c>
      <c r="G102" s="49"/>
      <c r="H102" s="49"/>
      <c r="I102" s="49"/>
      <c r="J102" s="50" t="s">
        <v>129</v>
      </c>
      <c r="K102" s="49">
        <f>L</f>
        <v>305</v>
      </c>
      <c r="L102" s="49"/>
      <c r="M102" s="49"/>
      <c r="N102" s="49"/>
      <c r="O102" s="50" t="s">
        <v>129</v>
      </c>
      <c r="P102" s="49">
        <f>L</f>
        <v>305</v>
      </c>
      <c r="Q102" s="49"/>
    </row>
    <row r="103" spans="4:17" x14ac:dyDescent="0.2">
      <c r="D103" s="49"/>
      <c r="E103" s="50" t="s">
        <v>130</v>
      </c>
      <c r="F103" s="52">
        <f>F102*F101</f>
        <v>27640.625</v>
      </c>
      <c r="G103" s="49"/>
      <c r="H103" s="49"/>
      <c r="I103" s="49"/>
      <c r="J103" s="50" t="s">
        <v>130</v>
      </c>
      <c r="K103" s="52">
        <f>K102*K101</f>
        <v>49200.312499999993</v>
      </c>
      <c r="L103" s="49"/>
      <c r="M103" s="49"/>
      <c r="N103" s="49"/>
      <c r="O103" s="50" t="s">
        <v>130</v>
      </c>
      <c r="P103" s="52">
        <f>P102*P101</f>
        <v>73302.937499999985</v>
      </c>
      <c r="Q103" s="49"/>
    </row>
    <row r="104" spans="4:17" x14ac:dyDescent="0.2">
      <c r="D104" s="48" t="s">
        <v>132</v>
      </c>
      <c r="E104" s="49"/>
      <c r="F104" s="49"/>
      <c r="G104" s="49"/>
      <c r="H104" s="49"/>
      <c r="I104" s="48" t="s">
        <v>132</v>
      </c>
      <c r="J104" s="49"/>
      <c r="K104" s="49"/>
      <c r="L104" s="49"/>
      <c r="M104" s="49"/>
      <c r="N104" s="48" t="s">
        <v>132</v>
      </c>
      <c r="O104" s="49"/>
      <c r="P104" s="49"/>
      <c r="Q104" s="49"/>
    </row>
    <row r="107" spans="4:17" x14ac:dyDescent="0.2">
      <c r="D107" s="4" t="s">
        <v>148</v>
      </c>
    </row>
    <row r="108" spans="4:17" x14ac:dyDescent="0.2">
      <c r="E108" s="32" t="s">
        <v>121</v>
      </c>
      <c r="F108">
        <f>D</f>
        <v>5.2499999999999998E-2</v>
      </c>
      <c r="G108" s="30"/>
    </row>
    <row r="109" spans="4:17" x14ac:dyDescent="0.2">
      <c r="E109" s="32" t="s">
        <v>145</v>
      </c>
      <c r="F109" s="57">
        <f>D/0.0254</f>
        <v>2.0669291338582676</v>
      </c>
      <c r="G109" s="30"/>
    </row>
    <row r="110" spans="4:17" x14ac:dyDescent="0.2">
      <c r="E110" s="32" t="s">
        <v>129</v>
      </c>
      <c r="F110" s="57">
        <f>L</f>
        <v>305</v>
      </c>
      <c r="G110" s="30"/>
    </row>
    <row r="111" spans="4:17" x14ac:dyDescent="0.2">
      <c r="E111" s="32" t="s">
        <v>144</v>
      </c>
      <c r="F111" s="57">
        <f>F110*3.28</f>
        <v>1000.4</v>
      </c>
      <c r="G111" s="30"/>
    </row>
    <row r="112" spans="4:17" x14ac:dyDescent="0.2">
      <c r="E112" s="32" t="s">
        <v>147</v>
      </c>
      <c r="F112" s="58">
        <f>1+INDEX($I$124:$I$134,MATCH(F109,$H$124:$H$134))+(F109-INDEX($H$124:$H$134,MATCH(F109,$H$124:$H$134)))*(INDEX($I$124:$I$134,MATCH(F109,$H$124:$H$134)+1)-INDEX($I$124:$I$134,MATCH(F109,$H$124:$H$134)))/(INDEX($H$124:$H$134,MATCH(F109,$H$124:$H$134)+1)-INDEX($H$124:$H$134,MATCH(F109,$H$124:$H$134)))</f>
        <v>13.758768790264853</v>
      </c>
      <c r="G112" s="30"/>
    </row>
    <row r="113" spans="4:9" x14ac:dyDescent="0.2">
      <c r="E113" s="32" t="s">
        <v>146</v>
      </c>
      <c r="F113" s="57">
        <f>F111/F112</f>
        <v>72.709994277092761</v>
      </c>
      <c r="G113" s="30"/>
    </row>
    <row r="114" spans="4:9" x14ac:dyDescent="0.2">
      <c r="E114" s="32" t="s">
        <v>120</v>
      </c>
      <c r="F114" s="51">
        <f>INDEX($F$124:$F$140,MATCH(F109,$D$124:$D$140))+(F109-INDEX($D$124:$D$140,MATCH(F109,$D$124:$D$140)))*(INDEX($F$124:$F$140,MATCH(F109,$D$124:$D$140)+1)-INDEX($F$124:$F$140,MATCH(F109,$D$124:$D$140)))/(INDEX($D$124:$D$140,MATCH(F109,$D$124:$D$140)+1)-INDEX($D$124:$D$140,MATCH(F109,$D$124:$D$140)))</f>
        <v>8.9218068021217611</v>
      </c>
      <c r="G114" s="30"/>
    </row>
    <row r="115" spans="4:9" x14ac:dyDescent="0.2">
      <c r="E115" s="32" t="s">
        <v>139</v>
      </c>
      <c r="F115">
        <v>300.3</v>
      </c>
    </row>
    <row r="116" spans="4:9" x14ac:dyDescent="0.2">
      <c r="E116" s="32" t="s">
        <v>140</v>
      </c>
      <c r="F116">
        <v>555.79999999999995</v>
      </c>
    </row>
    <row r="117" spans="4:9" x14ac:dyDescent="0.2">
      <c r="E117" s="32" t="s">
        <v>152</v>
      </c>
      <c r="F117">
        <v>1495.8</v>
      </c>
    </row>
    <row r="118" spans="4:9" x14ac:dyDescent="0.2">
      <c r="E118" s="32" t="s">
        <v>141</v>
      </c>
      <c r="F118" s="35">
        <f>F113*F114</f>
        <v>648.70452152360053</v>
      </c>
      <c r="G118" s="30"/>
    </row>
    <row r="119" spans="4:9" x14ac:dyDescent="0.2">
      <c r="D119" s="59"/>
      <c r="E119" s="60" t="s">
        <v>153</v>
      </c>
      <c r="F119" s="61">
        <f>F118*F117/F116</f>
        <v>1745.82983680281</v>
      </c>
      <c r="G119" s="12"/>
    </row>
    <row r="121" spans="4:9" x14ac:dyDescent="0.2">
      <c r="D121" s="4" t="s">
        <v>128</v>
      </c>
      <c r="H121" s="4" t="s">
        <v>128</v>
      </c>
    </row>
    <row r="122" spans="4:9" x14ac:dyDescent="0.2">
      <c r="D122" s="1" t="s">
        <v>82</v>
      </c>
      <c r="E122" s="1" t="s">
        <v>83</v>
      </c>
      <c r="F122" s="1" t="s">
        <v>83</v>
      </c>
      <c r="H122" s="1" t="s">
        <v>82</v>
      </c>
      <c r="I122" s="32" t="s">
        <v>137</v>
      </c>
    </row>
    <row r="123" spans="4:9" x14ac:dyDescent="0.2">
      <c r="D123" s="32" t="s">
        <v>136</v>
      </c>
      <c r="E123" s="32" t="s">
        <v>142</v>
      </c>
      <c r="F123" s="32" t="s">
        <v>143</v>
      </c>
      <c r="H123" s="32" t="s">
        <v>136</v>
      </c>
      <c r="I123" s="32" t="s">
        <v>138</v>
      </c>
    </row>
    <row r="124" spans="4:9" x14ac:dyDescent="0.2">
      <c r="D124" s="23">
        <v>0.75</v>
      </c>
      <c r="E124" s="13">
        <v>2.6</v>
      </c>
      <c r="F124" s="13">
        <f>E124*($F$116/$F$115)</f>
        <v>4.8121212121212116</v>
      </c>
      <c r="H124" s="23">
        <v>0.75</v>
      </c>
      <c r="I124" s="10">
        <v>6</v>
      </c>
    </row>
    <row r="125" spans="4:9" x14ac:dyDescent="0.2">
      <c r="D125" s="23">
        <v>0.8</v>
      </c>
      <c r="E125" s="13">
        <v>2.65</v>
      </c>
      <c r="F125" s="13">
        <f>E125*($F$116/$F$115)</f>
        <v>4.9046620046620042</v>
      </c>
      <c r="H125" s="23">
        <v>1.1000000000000001</v>
      </c>
      <c r="I125" s="10">
        <v>8</v>
      </c>
    </row>
    <row r="126" spans="4:9" x14ac:dyDescent="0.2">
      <c r="D126" s="23">
        <v>0.9</v>
      </c>
      <c r="E126" s="13">
        <v>2.8</v>
      </c>
      <c r="F126" s="13">
        <f>E126*($F$116/$F$115)</f>
        <v>5.1822843822843812</v>
      </c>
      <c r="H126" s="23">
        <v>1.5</v>
      </c>
      <c r="I126" s="10">
        <v>10</v>
      </c>
    </row>
    <row r="127" spans="4:9" x14ac:dyDescent="0.2">
      <c r="D127" s="23">
        <v>1</v>
      </c>
      <c r="E127" s="13">
        <v>2.9</v>
      </c>
      <c r="F127" s="13">
        <f>E127*($F$116/$F$115)</f>
        <v>5.3673659673659664</v>
      </c>
      <c r="H127" s="23">
        <v>1.9</v>
      </c>
      <c r="I127" s="10">
        <v>12</v>
      </c>
    </row>
    <row r="128" spans="4:9" x14ac:dyDescent="0.2">
      <c r="D128" s="23">
        <v>1.5</v>
      </c>
      <c r="E128" s="13">
        <v>3.7</v>
      </c>
      <c r="F128" s="13">
        <f>E128*($F$116/$F$115)</f>
        <v>6.8480186480186473</v>
      </c>
      <c r="H128" s="23">
        <v>3</v>
      </c>
      <c r="I128" s="10">
        <v>17</v>
      </c>
    </row>
    <row r="129" spans="4:9" x14ac:dyDescent="0.2">
      <c r="D129" s="23">
        <v>2</v>
      </c>
      <c r="E129" s="13">
        <v>4.7</v>
      </c>
      <c r="F129" s="13">
        <f>E129*($F$116/$F$115)</f>
        <v>8.698834498834497</v>
      </c>
      <c r="H129" s="23">
        <v>4</v>
      </c>
      <c r="I129" s="10">
        <v>20</v>
      </c>
    </row>
    <row r="130" spans="4:9" x14ac:dyDescent="0.2">
      <c r="D130" s="23">
        <v>3</v>
      </c>
      <c r="E130" s="13">
        <v>6.5</v>
      </c>
      <c r="F130" s="13">
        <f>E130*($F$116/$F$115)</f>
        <v>12.030303030303028</v>
      </c>
      <c r="H130" s="23">
        <v>6</v>
      </c>
      <c r="I130" s="10">
        <v>25</v>
      </c>
    </row>
    <row r="131" spans="4:9" x14ac:dyDescent="0.2">
      <c r="D131" s="23">
        <v>4</v>
      </c>
      <c r="E131" s="13">
        <v>8.5</v>
      </c>
      <c r="F131" s="13">
        <f>E131*($F$116/$F$115)</f>
        <v>15.731934731934729</v>
      </c>
      <c r="H131" s="23">
        <v>8</v>
      </c>
      <c r="I131" s="10">
        <v>30</v>
      </c>
    </row>
    <row r="132" spans="4:9" x14ac:dyDescent="0.2">
      <c r="D132" s="23">
        <v>5</v>
      </c>
      <c r="E132" s="13">
        <v>11</v>
      </c>
      <c r="F132" s="13">
        <f>E132*($F$116/$F$115)</f>
        <v>20.358974358974358</v>
      </c>
      <c r="H132" s="23">
        <v>12</v>
      </c>
      <c r="I132" s="10">
        <v>40</v>
      </c>
    </row>
    <row r="133" spans="4:9" x14ac:dyDescent="0.2">
      <c r="D133" s="23">
        <v>6</v>
      </c>
      <c r="E133" s="13">
        <v>14</v>
      </c>
      <c r="F133" s="13">
        <f>E133*($F$116/$F$115)</f>
        <v>25.911421911421908</v>
      </c>
      <c r="H133" s="23">
        <v>20</v>
      </c>
      <c r="I133" s="10">
        <v>56</v>
      </c>
    </row>
    <row r="134" spans="4:9" x14ac:dyDescent="0.2">
      <c r="D134" s="23">
        <v>7</v>
      </c>
      <c r="E134" s="13">
        <v>17</v>
      </c>
      <c r="F134" s="13">
        <f>E134*($F$116/$F$115)</f>
        <v>31.463869463869457</v>
      </c>
      <c r="H134" s="23">
        <v>24</v>
      </c>
      <c r="I134" s="10">
        <v>63.5</v>
      </c>
    </row>
    <row r="135" spans="4:9" x14ac:dyDescent="0.2">
      <c r="D135" s="23">
        <v>8</v>
      </c>
      <c r="E135" s="13">
        <v>21</v>
      </c>
      <c r="F135" s="13">
        <f>E135*($F$116/$F$115)</f>
        <v>38.86713286713286</v>
      </c>
    </row>
    <row r="136" spans="4:9" x14ac:dyDescent="0.2">
      <c r="D136" s="23">
        <v>9</v>
      </c>
      <c r="E136" s="13">
        <v>24</v>
      </c>
      <c r="F136" s="13">
        <f>E136*($F$116/$F$115)</f>
        <v>44.419580419580413</v>
      </c>
    </row>
    <row r="137" spans="4:9" x14ac:dyDescent="0.2">
      <c r="D137" s="23">
        <v>10</v>
      </c>
      <c r="E137" s="13">
        <v>28</v>
      </c>
      <c r="F137" s="13">
        <f>E137*($F$116/$F$115)</f>
        <v>51.822843822843815</v>
      </c>
    </row>
    <row r="138" spans="4:9" x14ac:dyDescent="0.2">
      <c r="D138" s="23">
        <v>15</v>
      </c>
      <c r="E138" s="13">
        <v>48</v>
      </c>
      <c r="F138" s="13">
        <f>E138*($F$116/$F$115)</f>
        <v>88.839160839160826</v>
      </c>
    </row>
    <row r="139" spans="4:9" x14ac:dyDescent="0.2">
      <c r="D139" s="23">
        <v>20</v>
      </c>
      <c r="E139" s="13">
        <v>67</v>
      </c>
      <c r="F139" s="13">
        <f>E139*($F$116/$F$115)</f>
        <v>124.00466200466198</v>
      </c>
    </row>
    <row r="140" spans="4:9" x14ac:dyDescent="0.2">
      <c r="D140" s="23">
        <v>24</v>
      </c>
      <c r="E140" s="13">
        <v>80</v>
      </c>
      <c r="F140" s="13">
        <f>E140*($F$116/$F$115)</f>
        <v>148.06526806526804</v>
      </c>
    </row>
  </sheetData>
  <sheetProtection selectLockedCells="1"/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design</vt:lpstr>
      <vt:lpstr>pipe cost</vt:lpstr>
      <vt:lpstr>A</vt:lpstr>
      <vt:lpstr>alpha</vt:lpstr>
      <vt:lpstr>Aopt</vt:lpstr>
      <vt:lpstr>D</vt:lpstr>
      <vt:lpstr>Dopt</vt:lpstr>
      <vt:lpstr>eps</vt:lpstr>
      <vt:lpstr>eta</vt:lpstr>
      <vt:lpstr>f</vt:lpstr>
      <vt:lpstr>g</vt:lpstr>
      <vt:lpstr>hfinal</vt:lpstr>
      <vt:lpstr>hinit</vt:lpstr>
      <vt:lpstr>L</vt:lpstr>
      <vt:lpstr>Le</vt:lpstr>
      <vt:lpstr>length</vt:lpstr>
      <vt:lpstr>mu</vt:lpstr>
      <vt:lpstr>mv</vt:lpstr>
      <vt:lpstr>pfinal</vt:lpstr>
      <vt:lpstr>pinit</vt:lpstr>
      <vt:lpstr>Re</vt:lpstr>
      <vt:lpstr>Reopt</vt:lpstr>
      <vt:lpstr>rho</vt:lpstr>
      <vt:lpstr>v</vt:lpstr>
      <vt:lpstr>Vfinal</vt:lpstr>
      <vt:lpstr>Vinit</vt:lpstr>
      <vt:lpstr>vopt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Image</dc:creator>
  <cp:lastModifiedBy>Andy Biaglow</cp:lastModifiedBy>
  <cp:lastPrinted>2010-01-09T17:39:13Z</cp:lastPrinted>
  <dcterms:created xsi:type="dcterms:W3CDTF">2006-02-12T14:28:25Z</dcterms:created>
  <dcterms:modified xsi:type="dcterms:W3CDTF">2021-12-29T23:18:05Z</dcterms:modified>
</cp:coreProperties>
</file>